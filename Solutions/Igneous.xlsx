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\Documents\GitHub\Thermolab\Solutions\"/>
    </mc:Choice>
  </mc:AlternateContent>
  <xr:revisionPtr revIDLastSave="0" documentId="13_ncr:1_{C2C76217-E107-494F-8383-AB34CD22ED3E}" xr6:coauthVersionLast="47" xr6:coauthVersionMax="47" xr10:uidLastSave="{00000000-0000-0000-0000-000000000000}"/>
  <bookViews>
    <workbookView xWindow="16710" yWindow="2270" windowWidth="22460" windowHeight="16660" tabRatio="865" xr2:uid="{5AA2B440-0145-4F56-AB97-83AB8C8EBBCD}"/>
  </bookViews>
  <sheets>
    <sheet name="Melt(G25)" sheetId="4" r:id="rId1"/>
    <sheet name="Fluid(G25)" sheetId="15" r:id="rId2"/>
    <sheet name="Feldspar" sheetId="49" r:id="rId3"/>
    <sheet name="Olivine" sheetId="2" r:id="rId4"/>
    <sheet name="Ilmenite" sheetId="13" r:id="rId5"/>
    <sheet name="Orthopyroxene" sheetId="5" r:id="rId6"/>
    <sheet name="Clinopyroxene" sheetId="7" r:id="rId7"/>
    <sheet name="Garnet" sheetId="6" r:id="rId8"/>
    <sheet name="Spinel" sheetId="14" r:id="rId9"/>
    <sheet name="Biotite" sheetId="17" r:id="rId10"/>
    <sheet name="Muscovite" sheetId="18" r:id="rId11"/>
    <sheet name="Amphibole" sheetId="16" r:id="rId12"/>
    <sheet name="Epidote" sheetId="19" r:id="rId13"/>
    <sheet name="Cordierite" sheetId="20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F15" i="2"/>
  <c r="E15" i="2"/>
  <c r="C15" i="2"/>
  <c r="B15" i="2"/>
  <c r="M20" i="5"/>
  <c r="L20" i="5"/>
  <c r="K20" i="5"/>
  <c r="J20" i="5"/>
  <c r="I20" i="5"/>
  <c r="H20" i="5"/>
  <c r="G20" i="5"/>
  <c r="F20" i="5"/>
  <c r="E20" i="5"/>
  <c r="D20" i="5"/>
  <c r="C20" i="5"/>
  <c r="B20" i="5"/>
  <c r="L17" i="17"/>
  <c r="K17" i="17"/>
  <c r="J17" i="17"/>
  <c r="I17" i="17"/>
  <c r="H17" i="17"/>
  <c r="G17" i="17"/>
  <c r="F17" i="17"/>
  <c r="E17" i="17"/>
  <c r="D17" i="17"/>
  <c r="C17" i="17"/>
  <c r="B17" i="17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M22" i="15"/>
  <c r="L22" i="15"/>
  <c r="K22" i="15"/>
  <c r="J22" i="15"/>
  <c r="I22" i="15"/>
  <c r="H22" i="15"/>
  <c r="G22" i="15"/>
  <c r="F22" i="15"/>
  <c r="E22" i="15"/>
  <c r="D22" i="15"/>
  <c r="C22" i="15"/>
  <c r="B22" i="15"/>
  <c r="K19" i="14"/>
  <c r="J19" i="14"/>
  <c r="I19" i="14"/>
  <c r="H19" i="14"/>
  <c r="G19" i="14"/>
  <c r="F19" i="14"/>
  <c r="E19" i="14"/>
  <c r="D19" i="14"/>
  <c r="C19" i="14"/>
  <c r="B19" i="14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I17" i="6"/>
  <c r="H17" i="6"/>
  <c r="G17" i="6"/>
  <c r="F17" i="6"/>
  <c r="E17" i="6"/>
  <c r="D17" i="6"/>
  <c r="C17" i="6"/>
  <c r="B17" i="6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E29" i="18" l="1"/>
  <c r="B32" i="18"/>
</calcChain>
</file>

<file path=xl/sharedStrings.xml><?xml version="1.0" encoding="utf-8"?>
<sst xmlns="http://schemas.openxmlformats.org/spreadsheetml/2006/main" count="1136" uniqueCount="264">
  <si>
    <t>Occupancy</t>
  </si>
  <si>
    <t>H2O</t>
  </si>
  <si>
    <t>w0</t>
  </si>
  <si>
    <t>wT</t>
  </si>
  <si>
    <t>wP</t>
  </si>
  <si>
    <t>alp</t>
  </si>
  <si>
    <t>alp0</t>
  </si>
  <si>
    <t>alpT</t>
  </si>
  <si>
    <t>alpP</t>
  </si>
  <si>
    <t>M1</t>
  </si>
  <si>
    <t>Mg</t>
  </si>
  <si>
    <t>Fe</t>
  </si>
  <si>
    <t>fa</t>
  </si>
  <si>
    <t>fo</t>
  </si>
  <si>
    <t>M2</t>
  </si>
  <si>
    <t>Ca</t>
  </si>
  <si>
    <t>mont</t>
  </si>
  <si>
    <t>cfm</t>
  </si>
  <si>
    <t>pq</t>
  </si>
  <si>
    <t>psl</t>
  </si>
  <si>
    <t>pwo</t>
  </si>
  <si>
    <t>pjd</t>
  </si>
  <si>
    <t>phm</t>
  </si>
  <si>
    <t>pek</t>
  </si>
  <si>
    <t>pti</t>
  </si>
  <si>
    <t>pkj</t>
  </si>
  <si>
    <t>pct</t>
  </si>
  <si>
    <t>pol</t>
  </si>
  <si>
    <t>sumT</t>
  </si>
  <si>
    <t>mgM</t>
  </si>
  <si>
    <t>feM</t>
  </si>
  <si>
    <t>CaM</t>
  </si>
  <si>
    <t>AlM</t>
  </si>
  <si>
    <t>sumM</t>
  </si>
  <si>
    <t>xh</t>
  </si>
  <si>
    <t>xv</t>
  </si>
  <si>
    <t>q4L</t>
  </si>
  <si>
    <t>sl1L</t>
  </si>
  <si>
    <t>wo1L</t>
  </si>
  <si>
    <t>fo2L</t>
  </si>
  <si>
    <t>fa2L</t>
  </si>
  <si>
    <t>jdL</t>
  </si>
  <si>
    <t>hmL</t>
  </si>
  <si>
    <t>ekL</t>
  </si>
  <si>
    <t>tiL</t>
  </si>
  <si>
    <t>kjL</t>
  </si>
  <si>
    <t>ctL</t>
  </si>
  <si>
    <t>h2o1L</t>
  </si>
  <si>
    <t>T</t>
  </si>
  <si>
    <t>M</t>
  </si>
  <si>
    <t>V</t>
  </si>
  <si>
    <t>T2</t>
  </si>
  <si>
    <t>Al</t>
  </si>
  <si>
    <t>Cr</t>
  </si>
  <si>
    <t>Ti</t>
  </si>
  <si>
    <t>Na</t>
  </si>
  <si>
    <t>Si</t>
  </si>
  <si>
    <t>en</t>
  </si>
  <si>
    <t>fs</t>
  </si>
  <si>
    <t>fm</t>
  </si>
  <si>
    <t>odi</t>
  </si>
  <si>
    <t>mgts</t>
  </si>
  <si>
    <t>cren</t>
  </si>
  <si>
    <t>obuf</t>
  </si>
  <si>
    <t>mess</t>
  </si>
  <si>
    <t>ojd</t>
  </si>
  <si>
    <t>py</t>
  </si>
  <si>
    <t>alm</t>
  </si>
  <si>
    <t>gr</t>
  </si>
  <si>
    <t>andr</t>
  </si>
  <si>
    <t>tig</t>
  </si>
  <si>
    <t>knom</t>
  </si>
  <si>
    <t>Fe3</t>
  </si>
  <si>
    <t>di</t>
  </si>
  <si>
    <t>crdi</t>
  </si>
  <si>
    <t>cess</t>
  </si>
  <si>
    <t>cbuf</t>
  </si>
  <si>
    <t>jd</t>
  </si>
  <si>
    <t>T1</t>
  </si>
  <si>
    <t>cfm2</t>
  </si>
  <si>
    <t>kjd2</t>
  </si>
  <si>
    <t>cen2</t>
  </si>
  <si>
    <t>M3</t>
  </si>
  <si>
    <t>A</t>
  </si>
  <si>
    <t>K</t>
  </si>
  <si>
    <t>san</t>
  </si>
  <si>
    <t>an</t>
  </si>
  <si>
    <t>B</t>
  </si>
  <si>
    <t>oilm</t>
  </si>
  <si>
    <t>dilm</t>
  </si>
  <si>
    <t>nsp</t>
  </si>
  <si>
    <t>isp</t>
  </si>
  <si>
    <t>nhc</t>
  </si>
  <si>
    <t>ihc</t>
  </si>
  <si>
    <t>nmt</t>
  </si>
  <si>
    <t>imt</t>
  </si>
  <si>
    <t>pcr</t>
  </si>
  <si>
    <t>qndm</t>
  </si>
  <si>
    <t>pfo</t>
  </si>
  <si>
    <t>pfa</t>
  </si>
  <si>
    <t>fac</t>
  </si>
  <si>
    <t>ph2o</t>
  </si>
  <si>
    <t>qfL</t>
  </si>
  <si>
    <t>slfL</t>
  </si>
  <si>
    <t>wofL</t>
  </si>
  <si>
    <t>fofL</t>
  </si>
  <si>
    <t>fafL</t>
  </si>
  <si>
    <t>jdfL</t>
  </si>
  <si>
    <t>hmfL</t>
  </si>
  <si>
    <t>ekfL</t>
  </si>
  <si>
    <t>tifL</t>
  </si>
  <si>
    <t>kjfL</t>
  </si>
  <si>
    <t>v</t>
  </si>
  <si>
    <t>OH</t>
  </si>
  <si>
    <t>O</t>
  </si>
  <si>
    <t>M13</t>
  </si>
  <si>
    <t>M4</t>
  </si>
  <si>
    <t>tr</t>
  </si>
  <si>
    <t>cumm</t>
  </si>
  <si>
    <t>a</t>
  </si>
  <si>
    <t>b</t>
  </si>
  <si>
    <t>mrb</t>
  </si>
  <si>
    <t>kprg</t>
  </si>
  <si>
    <t>tts</t>
  </si>
  <si>
    <t>ts2</t>
  </si>
  <si>
    <t>parg2</t>
  </si>
  <si>
    <t>gl2</t>
  </si>
  <si>
    <t>grun2</t>
  </si>
  <si>
    <t>phl</t>
  </si>
  <si>
    <t>obi</t>
  </si>
  <si>
    <t>east</t>
  </si>
  <si>
    <t>tbi</t>
  </si>
  <si>
    <t>fbi</t>
  </si>
  <si>
    <t>M12</t>
  </si>
  <si>
    <t>H</t>
  </si>
  <si>
    <t>annm</t>
  </si>
  <si>
    <t>mu</t>
  </si>
  <si>
    <t>cel</t>
  </si>
  <si>
    <t>fcel</t>
  </si>
  <si>
    <t>pa</t>
  </si>
  <si>
    <t>mam</t>
  </si>
  <si>
    <t>fmu</t>
  </si>
  <si>
    <t>M2A</t>
  </si>
  <si>
    <t>M2B</t>
  </si>
  <si>
    <t>cz</t>
  </si>
  <si>
    <t>ep</t>
  </si>
  <si>
    <t>fep</t>
  </si>
  <si>
    <t>X</t>
  </si>
  <si>
    <t>crd</t>
  </si>
  <si>
    <t>fcrd</t>
  </si>
  <si>
    <t>hcrd</t>
  </si>
  <si>
    <t>Modeltype</t>
  </si>
  <si>
    <t>Sitenames</t>
  </si>
  <si>
    <t>z_min</t>
  </si>
  <si>
    <t>z_max</t>
  </si>
  <si>
    <t>dz</t>
  </si>
  <si>
    <t>subdivision</t>
  </si>
  <si>
    <t>Multiplicity</t>
  </si>
  <si>
    <t>TB</t>
  </si>
  <si>
    <t>ab</t>
  </si>
  <si>
    <t>q4L,tc-ds636</t>
  </si>
  <si>
    <t>slL,tc-ds636</t>
  </si>
  <si>
    <t>wo1L,tc-ds636</t>
  </si>
  <si>
    <t>fo2L,tc-ds636</t>
  </si>
  <si>
    <t>fa2L,tc-ds636</t>
  </si>
  <si>
    <t>jdL,tc-ds636</t>
  </si>
  <si>
    <t>hmL,tc-ds636</t>
  </si>
  <si>
    <t>ekL,tc-ds636</t>
  </si>
  <si>
    <t>tiL,tc-ds636</t>
  </si>
  <si>
    <t>kjL,tc-ds636</t>
  </si>
  <si>
    <t>ctL,tc-ds636</t>
  </si>
  <si>
    <t>h2o1L,tc-ds636</t>
  </si>
  <si>
    <t>ab,tc-ds636</t>
  </si>
  <si>
    <t>an,tc-ds636</t>
  </si>
  <si>
    <t>san,tc-ds636</t>
  </si>
  <si>
    <t>mont,tc-ds636</t>
  </si>
  <si>
    <t>fa,tc-ds636</t>
  </si>
  <si>
    <t>fo,tc-ds636</t>
  </si>
  <si>
    <t>cfm,tc-ds636</t>
  </si>
  <si>
    <t>di,tc-ds636</t>
  </si>
  <si>
    <t>cfs,tc-ds636</t>
  </si>
  <si>
    <t>cats,tc-ds636</t>
  </si>
  <si>
    <t>crdi,tc-ds636</t>
  </si>
  <si>
    <t>cess,tc-ds636</t>
  </si>
  <si>
    <t>cbuf,tc-ds636</t>
  </si>
  <si>
    <t>jd,tc-ds636</t>
  </si>
  <si>
    <t>cfm2,tc-ds636</t>
  </si>
  <si>
    <t>kjd2,tc-ds636</t>
  </si>
  <si>
    <t>cen2,tc-ds636</t>
  </si>
  <si>
    <t>cfs</t>
  </si>
  <si>
    <t>cats</t>
  </si>
  <si>
    <t>en,tc-ds636</t>
  </si>
  <si>
    <t>fs,tc-ds636</t>
  </si>
  <si>
    <t>fm,tc-ds636</t>
  </si>
  <si>
    <t>odi,tc-ds636</t>
  </si>
  <si>
    <t>mgts,tc-ds636</t>
  </si>
  <si>
    <t>cren,tc-ds636</t>
  </si>
  <si>
    <t>obuf,tc-ds636</t>
  </si>
  <si>
    <t>mess,tc-ds636</t>
  </si>
  <si>
    <t>ojd,tc-ds636</t>
  </si>
  <si>
    <t>ogk</t>
  </si>
  <si>
    <t>dgk</t>
  </si>
  <si>
    <t>oilm,tc-ds636</t>
  </si>
  <si>
    <t>dilm,tc-ds636</t>
  </si>
  <si>
    <t>hem,tc-ds636</t>
  </si>
  <si>
    <t>ogk,tc-ds636</t>
  </si>
  <si>
    <t>dgk,tc-ds636</t>
  </si>
  <si>
    <t>hem</t>
  </si>
  <si>
    <t>py,tc-ds636</t>
  </si>
  <si>
    <t>alm,tc-ds636</t>
  </si>
  <si>
    <t>gr,tc-ds636</t>
  </si>
  <si>
    <t>andr,tc-ds636</t>
  </si>
  <si>
    <t>tig,tc-ds636</t>
  </si>
  <si>
    <t>knor,tc-ds636</t>
  </si>
  <si>
    <t>nsp,tc-ds636</t>
  </si>
  <si>
    <t>isp,tc-ds636</t>
  </si>
  <si>
    <t>nhc,tc-ds636</t>
  </si>
  <si>
    <t>ihc,tc-ds636</t>
  </si>
  <si>
    <t>nmt,tc-ds636</t>
  </si>
  <si>
    <t>imt,tc-ds636</t>
  </si>
  <si>
    <t>picr,tc-ds636</t>
  </si>
  <si>
    <t>usp,tc-ds636</t>
  </si>
  <si>
    <t>usp</t>
  </si>
  <si>
    <t>picr</t>
  </si>
  <si>
    <t>qfL,tc-ds636</t>
  </si>
  <si>
    <t>slfL,tc-ds636</t>
  </si>
  <si>
    <t>wofL,tc-ds636</t>
  </si>
  <si>
    <t>fofL,tc-ds636</t>
  </si>
  <si>
    <t>fafL,tc-ds636</t>
  </si>
  <si>
    <t>jdfL,tc-ds636</t>
  </si>
  <si>
    <t>hmfL,tc-ds636</t>
  </si>
  <si>
    <t>ekfL,tc-ds636</t>
  </si>
  <si>
    <t>tifL,tc-ds636</t>
  </si>
  <si>
    <t>kjfL,tc-ds636</t>
  </si>
  <si>
    <t>H2O,tc-ds636</t>
  </si>
  <si>
    <t>phl,tc-ds636</t>
  </si>
  <si>
    <t>annm,tc-ds636</t>
  </si>
  <si>
    <t>est,tc-ds636</t>
  </si>
  <si>
    <t>tbi,tc-ds636</t>
  </si>
  <si>
    <t>fbi2,tc-ds636</t>
  </si>
  <si>
    <t>obi2,tc-ds636</t>
  </si>
  <si>
    <t>mu,tc-ds636</t>
  </si>
  <si>
    <t>cel,tc-ds636</t>
  </si>
  <si>
    <t>fcel,tc-ds636</t>
  </si>
  <si>
    <t>pa,tc-ds636</t>
  </si>
  <si>
    <t>mat,tc-ds636</t>
  </si>
  <si>
    <t>fmu,tc-ds636</t>
  </si>
  <si>
    <t>cz,tc-ds636</t>
  </si>
  <si>
    <t>ep,tc-ds636</t>
  </si>
  <si>
    <t>fep,tc-ds636</t>
  </si>
  <si>
    <t>crd,tc-ds636</t>
  </si>
  <si>
    <t>fcrd,tc-ds636</t>
  </si>
  <si>
    <t>hcrd,tc-ds636</t>
  </si>
  <si>
    <t>tr,tc-ds636</t>
  </si>
  <si>
    <t>tsm,tc-ds636</t>
  </si>
  <si>
    <t>prgm,tc-ds636</t>
  </si>
  <si>
    <t>glm,tc-ds636</t>
  </si>
  <si>
    <t>cumm,tc-ds636</t>
  </si>
  <si>
    <t>grnm,tc-ds636</t>
  </si>
  <si>
    <t>a,tc-ds636</t>
  </si>
  <si>
    <t>b,tc-ds636</t>
  </si>
  <si>
    <t>mrb,tc-ds636</t>
  </si>
  <si>
    <t>kprg,tc-ds636</t>
  </si>
  <si>
    <t>tts,tc-ds636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</si>
</sst>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D75F-FEF6-4D60-971A-E4E781288CB0}">
  <dimension ref="A1:S71"/>
  <sheetViews>
    <sheetView tabSelected="1" workbookViewId="0">
      <selection activeCell="B1" sqref="B1"/>
    </sheetView>
  </sheetViews>
  <sheetFormatPr defaultRowHeight="14.5" x14ac:dyDescent="0.35"/>
  <cols>
    <col min="1" max="1" width="13.453125" bestFit="1" customWidth="1"/>
  </cols>
  <sheetData>
    <row r="1" spans="1:19" x14ac:dyDescent="0.35">
      <c r="A1" t="s">
        <v>151</v>
      </c>
      <c r="B1">
        <v>4</v>
      </c>
    </row>
    <row r="3" spans="1:19" x14ac:dyDescent="0.35">
      <c r="A3" t="s">
        <v>152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28</v>
      </c>
      <c r="M3" t="s">
        <v>49</v>
      </c>
      <c r="N3" t="s">
        <v>49</v>
      </c>
      <c r="O3" t="s">
        <v>49</v>
      </c>
      <c r="P3" t="s">
        <v>49</v>
      </c>
      <c r="Q3" t="s">
        <v>33</v>
      </c>
      <c r="R3" t="s">
        <v>50</v>
      </c>
      <c r="S3" t="s">
        <v>50</v>
      </c>
    </row>
    <row r="4" spans="1:19" x14ac:dyDescent="0.35">
      <c r="A4" t="s">
        <v>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</row>
    <row r="6" spans="1:19" x14ac:dyDescent="0.35">
      <c r="A6" t="s">
        <v>160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35">
      <c r="A7" t="s">
        <v>161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</row>
    <row r="8" spans="1:19" x14ac:dyDescent="0.35">
      <c r="A8" t="s">
        <v>162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</row>
    <row r="9" spans="1:19" x14ac:dyDescent="0.35">
      <c r="A9" t="s">
        <v>163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4</v>
      </c>
      <c r="N9">
        <v>0</v>
      </c>
      <c r="O9">
        <v>0</v>
      </c>
      <c r="P9">
        <v>0</v>
      </c>
      <c r="Q9">
        <v>4</v>
      </c>
      <c r="R9">
        <v>0</v>
      </c>
      <c r="S9">
        <v>1</v>
      </c>
    </row>
    <row r="10" spans="1:19" x14ac:dyDescent="0.35">
      <c r="A10" t="s">
        <v>164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4</v>
      </c>
      <c r="O10">
        <v>0</v>
      </c>
      <c r="P10">
        <v>0</v>
      </c>
      <c r="Q10">
        <v>4</v>
      </c>
      <c r="R10">
        <v>0</v>
      </c>
      <c r="S10">
        <v>1</v>
      </c>
    </row>
    <row r="11" spans="1:19" x14ac:dyDescent="0.35">
      <c r="A11" t="s">
        <v>165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35">
      <c r="A12" t="s">
        <v>166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35">
      <c r="A13" t="s">
        <v>167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35">
      <c r="A14" t="s">
        <v>168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35">
      <c r="A15" t="s">
        <v>169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35">
      <c r="A16" t="s">
        <v>170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35">
      <c r="A17" t="s">
        <v>171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</row>
    <row r="19" spans="1:19" x14ac:dyDescent="0.35">
      <c r="A19" t="s">
        <v>157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-1</v>
      </c>
      <c r="M19">
        <v>1</v>
      </c>
      <c r="N19">
        <v>1</v>
      </c>
      <c r="O19">
        <v>1</v>
      </c>
      <c r="P19">
        <v>1</v>
      </c>
      <c r="Q19">
        <v>-1</v>
      </c>
      <c r="R19">
        <v>2</v>
      </c>
      <c r="S19">
        <v>2</v>
      </c>
    </row>
    <row r="21" spans="1:19" x14ac:dyDescent="0.35">
      <c r="A21" t="s">
        <v>153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5">
      <c r="A22" t="s">
        <v>154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4</v>
      </c>
      <c r="N22">
        <v>4</v>
      </c>
      <c r="O22">
        <v>1</v>
      </c>
      <c r="P22">
        <v>1</v>
      </c>
      <c r="Q22">
        <v>4</v>
      </c>
      <c r="R22">
        <v>2</v>
      </c>
      <c r="S22">
        <v>2</v>
      </c>
    </row>
    <row r="23" spans="1:19" x14ac:dyDescent="0.35">
      <c r="A23" t="s">
        <v>155</v>
      </c>
      <c r="B23">
        <f>1/3</f>
        <v>0.33333333333333331</v>
      </c>
      <c r="C23">
        <f t="shared" ref="C23:S23" si="0">1/3</f>
        <v>0.33333333333333331</v>
      </c>
      <c r="D23">
        <f t="shared" si="0"/>
        <v>0.33333333333333331</v>
      </c>
      <c r="E23">
        <f t="shared" si="0"/>
        <v>0.33333333333333331</v>
      </c>
      <c r="F23">
        <f t="shared" si="0"/>
        <v>0.33333333333333331</v>
      </c>
      <c r="G23">
        <f t="shared" si="0"/>
        <v>0.33333333333333331</v>
      </c>
      <c r="H23">
        <f t="shared" si="0"/>
        <v>0.33333333333333331</v>
      </c>
      <c r="I23">
        <f t="shared" si="0"/>
        <v>0.33333333333333331</v>
      </c>
      <c r="J23">
        <f t="shared" si="0"/>
        <v>0.33333333333333331</v>
      </c>
      <c r="K23">
        <f t="shared" si="0"/>
        <v>0.33333333333333331</v>
      </c>
      <c r="L23">
        <f t="shared" si="0"/>
        <v>0.33333333333333331</v>
      </c>
      <c r="M23">
        <f t="shared" si="0"/>
        <v>0.33333333333333331</v>
      </c>
      <c r="N23">
        <f t="shared" si="0"/>
        <v>0.33333333333333331</v>
      </c>
      <c r="O23">
        <f t="shared" si="0"/>
        <v>0.33333333333333331</v>
      </c>
      <c r="P23">
        <f t="shared" si="0"/>
        <v>0.33333333333333331</v>
      </c>
      <c r="Q23">
        <f t="shared" si="0"/>
        <v>0.33333333333333331</v>
      </c>
      <c r="R23">
        <f t="shared" si="0"/>
        <v>0.33333333333333331</v>
      </c>
      <c r="S23">
        <f t="shared" si="0"/>
        <v>0.33333333333333331</v>
      </c>
    </row>
    <row r="24" spans="1:19" x14ac:dyDescent="0.35">
      <c r="A24" t="s">
        <v>156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6" spans="1:19" x14ac:dyDescent="0.35">
      <c r="A26" t="s">
        <v>2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42</v>
      </c>
      <c r="I26" t="s">
        <v>43</v>
      </c>
      <c r="J26" t="s">
        <v>44</v>
      </c>
      <c r="K26" t="s">
        <v>45</v>
      </c>
      <c r="L26" t="s">
        <v>46</v>
      </c>
      <c r="M26" t="s">
        <v>47</v>
      </c>
    </row>
    <row r="27" spans="1:19" x14ac:dyDescent="0.35">
      <c r="A27" t="s">
        <v>36</v>
      </c>
      <c r="B27">
        <v>0</v>
      </c>
      <c r="C27">
        <v>9200</v>
      </c>
      <c r="D27">
        <v>-10300</v>
      </c>
      <c r="E27">
        <v>-47600</v>
      </c>
      <c r="F27">
        <v>-13100</v>
      </c>
      <c r="G27">
        <v>-15500</v>
      </c>
      <c r="H27">
        <v>20000</v>
      </c>
      <c r="I27">
        <v>0</v>
      </c>
      <c r="J27">
        <v>24100</v>
      </c>
      <c r="K27">
        <v>-20100</v>
      </c>
      <c r="L27">
        <v>-14200</v>
      </c>
      <c r="M27">
        <v>18700</v>
      </c>
    </row>
    <row r="28" spans="1:19" x14ac:dyDescent="0.35">
      <c r="A28" t="s">
        <v>37</v>
      </c>
      <c r="B28">
        <v>9200</v>
      </c>
      <c r="C28">
        <v>0</v>
      </c>
      <c r="D28">
        <v>-28500</v>
      </c>
      <c r="E28">
        <v>1200</v>
      </c>
      <c r="F28">
        <v>2500</v>
      </c>
      <c r="G28">
        <v>18800</v>
      </c>
      <c r="H28">
        <v>-5000</v>
      </c>
      <c r="I28">
        <v>0</v>
      </c>
      <c r="J28">
        <v>16200</v>
      </c>
      <c r="K28">
        <v>6900</v>
      </c>
      <c r="L28">
        <v>3700</v>
      </c>
      <c r="M28">
        <v>24300</v>
      </c>
    </row>
    <row r="29" spans="1:19" x14ac:dyDescent="0.35">
      <c r="A29" t="s">
        <v>38</v>
      </c>
      <c r="B29">
        <v>-10300</v>
      </c>
      <c r="C29">
        <v>-28500</v>
      </c>
      <c r="D29">
        <v>0</v>
      </c>
      <c r="E29">
        <v>25900</v>
      </c>
      <c r="F29">
        <v>13900</v>
      </c>
      <c r="G29">
        <v>100</v>
      </c>
      <c r="H29">
        <v>0</v>
      </c>
      <c r="I29">
        <v>0</v>
      </c>
      <c r="J29">
        <v>17900</v>
      </c>
      <c r="K29">
        <v>-500</v>
      </c>
      <c r="L29">
        <v>9600</v>
      </c>
      <c r="M29">
        <v>53200</v>
      </c>
    </row>
    <row r="30" spans="1:19" x14ac:dyDescent="0.35">
      <c r="A30" t="s">
        <v>39</v>
      </c>
      <c r="B30">
        <v>-47600</v>
      </c>
      <c r="C30">
        <v>1200</v>
      </c>
      <c r="D30">
        <v>25900</v>
      </c>
      <c r="E30">
        <v>0</v>
      </c>
      <c r="F30">
        <v>17900</v>
      </c>
      <c r="G30">
        <v>100</v>
      </c>
      <c r="H30">
        <v>0</v>
      </c>
      <c r="I30">
        <v>0</v>
      </c>
      <c r="J30">
        <v>9000</v>
      </c>
      <c r="K30">
        <v>3800</v>
      </c>
      <c r="L30">
        <v>-7600</v>
      </c>
      <c r="M30">
        <v>21000</v>
      </c>
    </row>
    <row r="31" spans="1:19" x14ac:dyDescent="0.35">
      <c r="A31" t="s">
        <v>40</v>
      </c>
      <c r="B31">
        <v>-13100</v>
      </c>
      <c r="C31">
        <v>2500</v>
      </c>
      <c r="D31">
        <v>13900</v>
      </c>
      <c r="E31">
        <v>17900</v>
      </c>
      <c r="F31">
        <v>0</v>
      </c>
      <c r="G31">
        <v>8300</v>
      </c>
      <c r="H31">
        <v>-30000</v>
      </c>
      <c r="I31">
        <v>0</v>
      </c>
      <c r="J31">
        <v>-4100</v>
      </c>
      <c r="K31">
        <v>9400</v>
      </c>
      <c r="L31">
        <v>-6100</v>
      </c>
      <c r="M31">
        <v>20900</v>
      </c>
    </row>
    <row r="32" spans="1:19" x14ac:dyDescent="0.35">
      <c r="A32" t="s">
        <v>41</v>
      </c>
      <c r="B32">
        <v>-15500</v>
      </c>
      <c r="C32">
        <v>18800</v>
      </c>
      <c r="D32">
        <v>100</v>
      </c>
      <c r="E32">
        <v>100</v>
      </c>
      <c r="F32">
        <v>8300</v>
      </c>
      <c r="G32">
        <v>0</v>
      </c>
      <c r="H32">
        <v>9800</v>
      </c>
      <c r="I32">
        <v>0</v>
      </c>
      <c r="J32">
        <v>15400</v>
      </c>
      <c r="K32">
        <v>-4700</v>
      </c>
      <c r="L32">
        <v>6800</v>
      </c>
      <c r="M32">
        <v>-10100</v>
      </c>
    </row>
    <row r="33" spans="1:13" x14ac:dyDescent="0.35">
      <c r="A33" t="s">
        <v>42</v>
      </c>
      <c r="B33">
        <v>20000</v>
      </c>
      <c r="C33">
        <v>-5000</v>
      </c>
      <c r="D33">
        <v>0</v>
      </c>
      <c r="E33">
        <v>0</v>
      </c>
      <c r="F33">
        <v>-30000</v>
      </c>
      <c r="G33">
        <v>9800</v>
      </c>
      <c r="H33">
        <v>0</v>
      </c>
      <c r="I33">
        <v>0</v>
      </c>
      <c r="J33">
        <v>0</v>
      </c>
      <c r="K33">
        <v>8900</v>
      </c>
      <c r="L33">
        <v>0</v>
      </c>
      <c r="M33">
        <v>57400</v>
      </c>
    </row>
    <row r="34" spans="1:13" x14ac:dyDescent="0.35">
      <c r="A34" t="s">
        <v>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60000</v>
      </c>
    </row>
    <row r="35" spans="1:13" x14ac:dyDescent="0.35">
      <c r="A35" t="s">
        <v>44</v>
      </c>
      <c r="B35">
        <v>24100</v>
      </c>
      <c r="C35">
        <v>16200</v>
      </c>
      <c r="D35">
        <v>17900</v>
      </c>
      <c r="E35">
        <v>9000</v>
      </c>
      <c r="F35">
        <v>-4100</v>
      </c>
      <c r="G35">
        <v>15400</v>
      </c>
      <c r="H35">
        <v>0</v>
      </c>
      <c r="I35">
        <v>0</v>
      </c>
      <c r="J35">
        <v>0</v>
      </c>
      <c r="K35">
        <v>9600</v>
      </c>
      <c r="L35">
        <v>0</v>
      </c>
      <c r="M35">
        <v>50000</v>
      </c>
    </row>
    <row r="36" spans="1:13" x14ac:dyDescent="0.35">
      <c r="A36" t="s">
        <v>45</v>
      </c>
      <c r="B36">
        <v>-20100</v>
      </c>
      <c r="C36">
        <v>6900</v>
      </c>
      <c r="D36">
        <v>-500</v>
      </c>
      <c r="E36">
        <v>3800</v>
      </c>
      <c r="F36">
        <v>9400</v>
      </c>
      <c r="G36">
        <v>-4700</v>
      </c>
      <c r="H36">
        <v>8900</v>
      </c>
      <c r="I36">
        <v>0</v>
      </c>
      <c r="J36">
        <v>9600</v>
      </c>
      <c r="K36">
        <v>0</v>
      </c>
      <c r="L36">
        <v>-5400</v>
      </c>
      <c r="M36">
        <v>2000</v>
      </c>
    </row>
    <row r="37" spans="1:13" x14ac:dyDescent="0.35">
      <c r="A37" t="s">
        <v>46</v>
      </c>
      <c r="B37">
        <v>-14200</v>
      </c>
      <c r="C37">
        <v>3700</v>
      </c>
      <c r="D37">
        <v>9600</v>
      </c>
      <c r="E37">
        <v>-7600</v>
      </c>
      <c r="F37">
        <v>-6100</v>
      </c>
      <c r="G37">
        <v>6800</v>
      </c>
      <c r="H37">
        <v>0</v>
      </c>
      <c r="I37">
        <v>0</v>
      </c>
      <c r="J37">
        <v>0</v>
      </c>
      <c r="K37">
        <v>-5400</v>
      </c>
      <c r="L37">
        <v>0</v>
      </c>
      <c r="M37">
        <v>8900</v>
      </c>
    </row>
    <row r="38" spans="1:13" x14ac:dyDescent="0.35">
      <c r="A38" t="s">
        <v>47</v>
      </c>
      <c r="B38">
        <v>18700</v>
      </c>
      <c r="C38">
        <v>24300</v>
      </c>
      <c r="D38">
        <v>53200</v>
      </c>
      <c r="E38">
        <v>21000</v>
      </c>
      <c r="F38">
        <v>20900</v>
      </c>
      <c r="G38">
        <v>-10100</v>
      </c>
      <c r="H38">
        <v>57400</v>
      </c>
      <c r="I38">
        <v>60000</v>
      </c>
      <c r="J38">
        <v>50000</v>
      </c>
      <c r="K38">
        <v>2000</v>
      </c>
      <c r="L38">
        <v>8900</v>
      </c>
      <c r="M38">
        <v>0</v>
      </c>
    </row>
    <row r="40" spans="1:13" x14ac:dyDescent="0.35">
      <c r="A40" t="s">
        <v>3</v>
      </c>
      <c r="B40" t="s">
        <v>36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42</v>
      </c>
      <c r="I40" t="s">
        <v>43</v>
      </c>
      <c r="J40" t="s">
        <v>44</v>
      </c>
      <c r="K40" t="s">
        <v>45</v>
      </c>
      <c r="L40" t="s">
        <v>46</v>
      </c>
      <c r="M40" t="s">
        <v>47</v>
      </c>
    </row>
    <row r="41" spans="1:13" x14ac:dyDescent="0.35">
      <c r="A41" t="s">
        <v>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5">
      <c r="A42" t="s">
        <v>37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5">
      <c r="A43" t="s">
        <v>38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5">
      <c r="A44" t="s">
        <v>39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5">
      <c r="A45" t="s">
        <v>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5">
      <c r="A46" t="s">
        <v>41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5">
      <c r="A47" t="s">
        <v>42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5">
      <c r="A48" t="s">
        <v>43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5">
      <c r="A49" t="s">
        <v>44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5">
      <c r="A50" t="s">
        <v>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5">
      <c r="A51" t="s">
        <v>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5">
      <c r="A52" t="s">
        <v>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4" spans="1:13" x14ac:dyDescent="0.35">
      <c r="A54" t="s">
        <v>4</v>
      </c>
      <c r="B54" t="s">
        <v>36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42</v>
      </c>
      <c r="I54" t="s">
        <v>43</v>
      </c>
      <c r="J54" t="s">
        <v>44</v>
      </c>
      <c r="K54" t="s">
        <v>45</v>
      </c>
      <c r="L54" t="s">
        <v>46</v>
      </c>
      <c r="M54" t="s">
        <v>47</v>
      </c>
    </row>
    <row r="55" spans="1:13" x14ac:dyDescent="0.35">
      <c r="A55" t="s">
        <v>36</v>
      </c>
      <c r="B55">
        <v>0</v>
      </c>
      <c r="C55">
        <v>-80</v>
      </c>
      <c r="D55">
        <v>0</v>
      </c>
      <c r="E55">
        <v>-4310</v>
      </c>
      <c r="F55">
        <v>-530</v>
      </c>
      <c r="G55">
        <v>-110</v>
      </c>
      <c r="H55">
        <v>0</v>
      </c>
      <c r="I55">
        <v>0</v>
      </c>
      <c r="J55">
        <v>0</v>
      </c>
      <c r="K55">
        <v>-50</v>
      </c>
      <c r="L55">
        <v>30</v>
      </c>
      <c r="M55">
        <v>-710</v>
      </c>
    </row>
    <row r="56" spans="1:13" x14ac:dyDescent="0.35">
      <c r="A56" t="s">
        <v>37</v>
      </c>
      <c r="B56">
        <v>-80</v>
      </c>
      <c r="C56">
        <v>0</v>
      </c>
      <c r="D56">
        <v>830</v>
      </c>
      <c r="E56">
        <v>100</v>
      </c>
      <c r="F56">
        <v>0</v>
      </c>
      <c r="G56">
        <v>40</v>
      </c>
      <c r="H56">
        <v>0</v>
      </c>
      <c r="I56">
        <v>0</v>
      </c>
      <c r="J56">
        <v>-40</v>
      </c>
      <c r="K56">
        <v>100</v>
      </c>
      <c r="L56">
        <v>0</v>
      </c>
      <c r="M56">
        <v>-940</v>
      </c>
    </row>
    <row r="57" spans="1:13" x14ac:dyDescent="0.35">
      <c r="A57" t="s">
        <v>38</v>
      </c>
      <c r="B57">
        <v>0</v>
      </c>
      <c r="C57">
        <v>830</v>
      </c>
      <c r="D57">
        <v>0</v>
      </c>
      <c r="E57">
        <v>70</v>
      </c>
      <c r="F57">
        <v>0</v>
      </c>
      <c r="G57">
        <v>-30</v>
      </c>
      <c r="H57">
        <v>0</v>
      </c>
      <c r="I57">
        <v>0</v>
      </c>
      <c r="J57">
        <v>0</v>
      </c>
      <c r="K57">
        <v>100</v>
      </c>
      <c r="L57">
        <v>-40</v>
      </c>
      <c r="M57">
        <v>-1100</v>
      </c>
    </row>
    <row r="58" spans="1:13" x14ac:dyDescent="0.35">
      <c r="A58" t="s">
        <v>39</v>
      </c>
      <c r="B58">
        <v>-4310</v>
      </c>
      <c r="C58">
        <v>100</v>
      </c>
      <c r="D58">
        <v>70</v>
      </c>
      <c r="E58">
        <v>0</v>
      </c>
      <c r="F58">
        <v>30</v>
      </c>
      <c r="G58">
        <v>70</v>
      </c>
      <c r="H58">
        <v>0</v>
      </c>
      <c r="I58">
        <v>0</v>
      </c>
      <c r="J58">
        <v>0</v>
      </c>
      <c r="K58">
        <v>70</v>
      </c>
      <c r="L58">
        <v>0</v>
      </c>
      <c r="M58">
        <v>-1670</v>
      </c>
    </row>
    <row r="59" spans="1:13" x14ac:dyDescent="0.35">
      <c r="A59" t="s">
        <v>40</v>
      </c>
      <c r="B59">
        <v>-530</v>
      </c>
      <c r="C59">
        <v>0</v>
      </c>
      <c r="D59">
        <v>0</v>
      </c>
      <c r="E59">
        <v>30</v>
      </c>
      <c r="F59">
        <v>0</v>
      </c>
      <c r="G59">
        <v>-40</v>
      </c>
      <c r="H59">
        <v>0</v>
      </c>
      <c r="I59">
        <v>0</v>
      </c>
      <c r="J59">
        <v>0</v>
      </c>
      <c r="K59">
        <v>100</v>
      </c>
      <c r="L59">
        <v>0</v>
      </c>
      <c r="M59">
        <v>-1600</v>
      </c>
    </row>
    <row r="60" spans="1:13" x14ac:dyDescent="0.35">
      <c r="A60" t="s">
        <v>41</v>
      </c>
      <c r="B60">
        <v>-110</v>
      </c>
      <c r="C60">
        <v>40</v>
      </c>
      <c r="D60">
        <v>-30</v>
      </c>
      <c r="E60">
        <v>70</v>
      </c>
      <c r="F60">
        <v>-40</v>
      </c>
      <c r="G60">
        <v>0</v>
      </c>
      <c r="H60">
        <v>10</v>
      </c>
      <c r="I60">
        <v>0</v>
      </c>
      <c r="J60">
        <v>140</v>
      </c>
      <c r="K60">
        <v>100</v>
      </c>
      <c r="L60">
        <v>0</v>
      </c>
      <c r="M60">
        <v>-60</v>
      </c>
    </row>
    <row r="61" spans="1:13" x14ac:dyDescent="0.35">
      <c r="A61" t="s">
        <v>42</v>
      </c>
      <c r="B61">
        <v>0</v>
      </c>
      <c r="C61">
        <v>0</v>
      </c>
      <c r="D61">
        <v>0</v>
      </c>
      <c r="E61">
        <v>0</v>
      </c>
      <c r="F61">
        <v>0</v>
      </c>
      <c r="G61">
        <v>10</v>
      </c>
      <c r="H61">
        <v>0</v>
      </c>
      <c r="I61">
        <v>0</v>
      </c>
      <c r="J61">
        <v>0</v>
      </c>
      <c r="K61">
        <v>100</v>
      </c>
      <c r="L61">
        <v>0</v>
      </c>
      <c r="M61">
        <v>-660</v>
      </c>
    </row>
    <row r="62" spans="1:13" x14ac:dyDescent="0.35">
      <c r="A62" t="s">
        <v>43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-660</v>
      </c>
    </row>
    <row r="63" spans="1:13" x14ac:dyDescent="0.35">
      <c r="A63" t="s">
        <v>44</v>
      </c>
      <c r="B63">
        <v>0</v>
      </c>
      <c r="C63">
        <v>-40</v>
      </c>
      <c r="D63">
        <v>0</v>
      </c>
      <c r="E63">
        <v>0</v>
      </c>
      <c r="F63">
        <v>0</v>
      </c>
      <c r="G63">
        <v>140</v>
      </c>
      <c r="H63">
        <v>0</v>
      </c>
      <c r="I63">
        <v>0</v>
      </c>
      <c r="J63">
        <v>0</v>
      </c>
      <c r="K63">
        <v>40</v>
      </c>
      <c r="L63">
        <v>0</v>
      </c>
      <c r="M63">
        <v>-200</v>
      </c>
    </row>
    <row r="64" spans="1:13" x14ac:dyDescent="0.35">
      <c r="A64" t="s">
        <v>45</v>
      </c>
      <c r="B64">
        <v>-50</v>
      </c>
      <c r="C64">
        <v>100</v>
      </c>
      <c r="D64">
        <v>100</v>
      </c>
      <c r="E64">
        <v>70</v>
      </c>
      <c r="F64">
        <v>100</v>
      </c>
      <c r="G64">
        <v>100</v>
      </c>
      <c r="H64">
        <v>100</v>
      </c>
      <c r="I64">
        <v>0</v>
      </c>
      <c r="J64">
        <v>40</v>
      </c>
      <c r="K64">
        <v>0</v>
      </c>
      <c r="L64">
        <v>0</v>
      </c>
      <c r="M64">
        <v>60</v>
      </c>
    </row>
    <row r="65" spans="1:13" x14ac:dyDescent="0.35">
      <c r="A65" t="s">
        <v>46</v>
      </c>
      <c r="B65">
        <v>30</v>
      </c>
      <c r="C65">
        <v>0</v>
      </c>
      <c r="D65">
        <v>-40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-30</v>
      </c>
    </row>
    <row r="66" spans="1:13" x14ac:dyDescent="0.35">
      <c r="A66" t="s">
        <v>47</v>
      </c>
      <c r="B66">
        <v>-710</v>
      </c>
      <c r="C66">
        <v>-940</v>
      </c>
      <c r="D66">
        <v>-1100</v>
      </c>
      <c r="E66">
        <v>-1670</v>
      </c>
      <c r="F66">
        <v>-1600</v>
      </c>
      <c r="G66">
        <v>-60</v>
      </c>
      <c r="H66">
        <v>-660</v>
      </c>
      <c r="I66">
        <v>-660</v>
      </c>
      <c r="J66">
        <v>-200</v>
      </c>
      <c r="K66">
        <v>60</v>
      </c>
      <c r="L66">
        <v>-30</v>
      </c>
      <c r="M66">
        <v>0</v>
      </c>
    </row>
    <row r="68" spans="1:13" x14ac:dyDescent="0.35">
      <c r="A68" t="s">
        <v>5</v>
      </c>
      <c r="B68" t="s">
        <v>36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42</v>
      </c>
      <c r="I68" t="s">
        <v>43</v>
      </c>
      <c r="J68" t="s">
        <v>44</v>
      </c>
      <c r="K68" t="s">
        <v>45</v>
      </c>
      <c r="L68" t="s">
        <v>46</v>
      </c>
      <c r="M68" t="s">
        <v>47</v>
      </c>
    </row>
    <row r="69" spans="1:13" x14ac:dyDescent="0.35">
      <c r="A69" t="s">
        <v>6</v>
      </c>
      <c r="B69">
        <v>100</v>
      </c>
      <c r="C69">
        <v>120</v>
      </c>
      <c r="D69">
        <v>140</v>
      </c>
      <c r="E69">
        <v>240</v>
      </c>
      <c r="F69">
        <v>100</v>
      </c>
      <c r="G69">
        <v>120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65</v>
      </c>
    </row>
    <row r="70" spans="1:13" x14ac:dyDescent="0.35">
      <c r="A70" t="s">
        <v>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5">
      <c r="A71" t="s">
        <v>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C348-0239-421D-8B87-57D917DDB388}">
  <dimension ref="A1:M62"/>
  <sheetViews>
    <sheetView workbookViewId="0">
      <selection activeCell="J23" sqref="J23"/>
    </sheetView>
  </sheetViews>
  <sheetFormatPr defaultRowHeight="14.5" x14ac:dyDescent="0.35"/>
  <sheetData>
    <row r="1" spans="1:13" x14ac:dyDescent="0.35">
      <c r="A1" t="s">
        <v>151</v>
      </c>
      <c r="B1">
        <v>1</v>
      </c>
    </row>
    <row r="3" spans="1:13" x14ac:dyDescent="0.35">
      <c r="A3" t="s">
        <v>152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50</v>
      </c>
      <c r="M3" t="s">
        <v>50</v>
      </c>
    </row>
    <row r="4" spans="1:13" x14ac:dyDescent="0.35">
      <c r="A4" t="s">
        <v>0</v>
      </c>
      <c r="B4" t="s">
        <v>18</v>
      </c>
      <c r="C4" t="s">
        <v>19</v>
      </c>
      <c r="D4" t="s">
        <v>20</v>
      </c>
      <c r="E4" t="s">
        <v>98</v>
      </c>
      <c r="F4" t="s">
        <v>99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101</v>
      </c>
      <c r="M4" t="s">
        <v>100</v>
      </c>
    </row>
    <row r="6" spans="1:13" x14ac:dyDescent="0.35">
      <c r="A6" t="s">
        <v>224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</row>
    <row r="7" spans="1:13" x14ac:dyDescent="0.35">
      <c r="A7" t="s">
        <v>225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</row>
    <row r="8" spans="1:13" x14ac:dyDescent="0.35">
      <c r="A8" t="s">
        <v>226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</row>
    <row r="9" spans="1:13" x14ac:dyDescent="0.35">
      <c r="A9" t="s">
        <v>227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 spans="1:13" x14ac:dyDescent="0.35">
      <c r="A10" t="s">
        <v>228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1:13" x14ac:dyDescent="0.35">
      <c r="A11" t="s">
        <v>229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 x14ac:dyDescent="0.35">
      <c r="A12" t="s">
        <v>230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</row>
    <row r="13" spans="1:13" x14ac:dyDescent="0.35">
      <c r="A13" t="s">
        <v>231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</row>
    <row r="14" spans="1:13" x14ac:dyDescent="0.35">
      <c r="A14" t="s">
        <v>232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</row>
    <row r="15" spans="1:13" x14ac:dyDescent="0.35">
      <c r="A15" t="s">
        <v>233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</row>
    <row r="16" spans="1:13" x14ac:dyDescent="0.35">
      <c r="A16" t="s">
        <v>234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</row>
    <row r="18" spans="1:13" x14ac:dyDescent="0.35">
      <c r="A18" t="s">
        <v>157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1</v>
      </c>
    </row>
    <row r="20" spans="1:13" x14ac:dyDescent="0.35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 t="s">
        <v>154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1</v>
      </c>
      <c r="M21">
        <v>1</v>
      </c>
    </row>
    <row r="22" spans="1:13" x14ac:dyDescent="0.35">
      <c r="A22" t="s">
        <v>155</v>
      </c>
      <c r="B22">
        <f>1/3</f>
        <v>0.33333333333333331</v>
      </c>
      <c r="C22">
        <f t="shared" ref="C22:M22" si="0">1/3</f>
        <v>0.33333333333333331</v>
      </c>
      <c r="D22">
        <f t="shared" si="0"/>
        <v>0.33333333333333331</v>
      </c>
      <c r="E22">
        <f t="shared" si="0"/>
        <v>0.33333333333333331</v>
      </c>
      <c r="F22">
        <f t="shared" si="0"/>
        <v>0.33333333333333331</v>
      </c>
      <c r="G22">
        <f t="shared" si="0"/>
        <v>0.33333333333333331</v>
      </c>
      <c r="H22">
        <f t="shared" si="0"/>
        <v>0.33333333333333331</v>
      </c>
      <c r="I22">
        <f t="shared" si="0"/>
        <v>0.33333333333333331</v>
      </c>
      <c r="J22">
        <f t="shared" si="0"/>
        <v>0.33333333333333331</v>
      </c>
      <c r="K22">
        <f t="shared" si="0"/>
        <v>0.33333333333333331</v>
      </c>
      <c r="L22">
        <f t="shared" si="0"/>
        <v>0.33333333333333331</v>
      </c>
      <c r="M22">
        <f t="shared" si="0"/>
        <v>0.33333333333333331</v>
      </c>
    </row>
    <row r="23" spans="1:13" x14ac:dyDescent="0.35">
      <c r="A23" t="s">
        <v>156</v>
      </c>
      <c r="B23">
        <v>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</v>
      </c>
      <c r="M23">
        <v>0</v>
      </c>
    </row>
    <row r="25" spans="1:13" x14ac:dyDescent="0.35">
      <c r="A25" t="s">
        <v>2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108</v>
      </c>
      <c r="I25" t="s">
        <v>109</v>
      </c>
      <c r="J25" t="s">
        <v>110</v>
      </c>
      <c r="K25" t="s">
        <v>111</v>
      </c>
      <c r="L25" t="s">
        <v>1</v>
      </c>
    </row>
    <row r="26" spans="1:13" x14ac:dyDescent="0.35">
      <c r="A26" t="s">
        <v>102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71500</v>
      </c>
    </row>
    <row r="27" spans="1:13" x14ac:dyDescent="0.35">
      <c r="A27" t="s">
        <v>103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55400</v>
      </c>
    </row>
    <row r="28" spans="1:13" x14ac:dyDescent="0.35">
      <c r="A28" t="s">
        <v>104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83700</v>
      </c>
    </row>
    <row r="29" spans="1:13" x14ac:dyDescent="0.35">
      <c r="A29" t="s">
        <v>105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82900</v>
      </c>
    </row>
    <row r="30" spans="1:13" x14ac:dyDescent="0.35">
      <c r="A30" t="s">
        <v>106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77700</v>
      </c>
    </row>
    <row r="31" spans="1:13" x14ac:dyDescent="0.35">
      <c r="A31" t="s">
        <v>107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46100</v>
      </c>
    </row>
    <row r="32" spans="1:13" x14ac:dyDescent="0.35">
      <c r="A32" t="s">
        <v>108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73000</v>
      </c>
    </row>
    <row r="33" spans="1:12" x14ac:dyDescent="0.35">
      <c r="A33" t="s">
        <v>109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73000</v>
      </c>
    </row>
    <row r="34" spans="1:12" x14ac:dyDescent="0.35">
      <c r="A34" t="s">
        <v>110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75900</v>
      </c>
    </row>
    <row r="35" spans="1:12" x14ac:dyDescent="0.35">
      <c r="A35" t="s">
        <v>111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49600</v>
      </c>
    </row>
    <row r="36" spans="1:12" x14ac:dyDescent="0.35">
      <c r="A36" t="s">
        <v>1</v>
      </c>
      <c r="B36">
        <v>71500</v>
      </c>
      <c r="C36">
        <v>55400</v>
      </c>
      <c r="D36">
        <v>83700</v>
      </c>
      <c r="E36">
        <v>82900</v>
      </c>
      <c r="F36">
        <v>77700</v>
      </c>
      <c r="G36">
        <v>46100</v>
      </c>
      <c r="H36">
        <v>73000</v>
      </c>
      <c r="I36">
        <v>73000</v>
      </c>
      <c r="J36">
        <v>75900</v>
      </c>
      <c r="K36">
        <v>49600</v>
      </c>
      <c r="L36">
        <v>0</v>
      </c>
    </row>
    <row r="38" spans="1:12" x14ac:dyDescent="0.35">
      <c r="A38" t="s">
        <v>3</v>
      </c>
      <c r="B38" t="s">
        <v>102</v>
      </c>
      <c r="C38" t="s">
        <v>103</v>
      </c>
      <c r="D38" t="s">
        <v>104</v>
      </c>
      <c r="E38" t="s">
        <v>105</v>
      </c>
      <c r="F38" t="s">
        <v>106</v>
      </c>
      <c r="G38" t="s">
        <v>107</v>
      </c>
      <c r="H38" t="s">
        <v>108</v>
      </c>
      <c r="I38" t="s">
        <v>109</v>
      </c>
      <c r="J38" t="s">
        <v>110</v>
      </c>
      <c r="K38" t="s">
        <v>111</v>
      </c>
      <c r="L38" t="s">
        <v>1</v>
      </c>
    </row>
    <row r="39" spans="1:12" x14ac:dyDescent="0.35">
      <c r="A39" t="s">
        <v>102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t="s">
        <v>103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 t="s">
        <v>104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 t="s">
        <v>105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t="s">
        <v>106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5">
      <c r="A44" t="s">
        <v>107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 t="s">
        <v>108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 t="s">
        <v>109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 t="s">
        <v>110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t="s">
        <v>111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t="s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1" spans="1:12" x14ac:dyDescent="0.35">
      <c r="A51" t="s">
        <v>4</v>
      </c>
      <c r="B51" t="s">
        <v>102</v>
      </c>
      <c r="C51" t="s">
        <v>103</v>
      </c>
      <c r="D51" t="s">
        <v>104</v>
      </c>
      <c r="E51" t="s">
        <v>105</v>
      </c>
      <c r="F51" t="s">
        <v>106</v>
      </c>
      <c r="G51" t="s">
        <v>107</v>
      </c>
      <c r="H51" t="s">
        <v>108</v>
      </c>
      <c r="I51" t="s">
        <v>109</v>
      </c>
      <c r="J51" t="s">
        <v>110</v>
      </c>
      <c r="K51" t="s">
        <v>111</v>
      </c>
      <c r="L51" t="s">
        <v>1</v>
      </c>
    </row>
    <row r="52" spans="1:12" x14ac:dyDescent="0.35">
      <c r="A52" t="s">
        <v>102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-890</v>
      </c>
    </row>
    <row r="53" spans="1:12" x14ac:dyDescent="0.35">
      <c r="A53" t="s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-910</v>
      </c>
    </row>
    <row r="54" spans="1:12" x14ac:dyDescent="0.35">
      <c r="A54" t="s">
        <v>104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-610</v>
      </c>
    </row>
    <row r="55" spans="1:12" x14ac:dyDescent="0.35">
      <c r="A55" t="s">
        <v>105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-1260</v>
      </c>
    </row>
    <row r="56" spans="1:12" x14ac:dyDescent="0.35">
      <c r="A56" t="s">
        <v>106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-1410</v>
      </c>
    </row>
    <row r="57" spans="1:12" x14ac:dyDescent="0.35">
      <c r="A57" t="s">
        <v>107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-830</v>
      </c>
    </row>
    <row r="58" spans="1:12" x14ac:dyDescent="0.35">
      <c r="A58" t="s">
        <v>108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-660</v>
      </c>
    </row>
    <row r="59" spans="1:12" x14ac:dyDescent="0.35">
      <c r="A59" t="s">
        <v>109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-660</v>
      </c>
    </row>
    <row r="60" spans="1:12" x14ac:dyDescent="0.35">
      <c r="A60" t="s">
        <v>110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-660</v>
      </c>
    </row>
    <row r="61" spans="1:12" x14ac:dyDescent="0.35">
      <c r="A61" t="s">
        <v>111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-1310</v>
      </c>
    </row>
    <row r="62" spans="1:12" x14ac:dyDescent="0.35">
      <c r="A62" t="s">
        <v>1</v>
      </c>
      <c r="B62">
        <v>-890</v>
      </c>
      <c r="C62">
        <v>-910</v>
      </c>
      <c r="D62">
        <v>-610</v>
      </c>
      <c r="E62">
        <v>-1260</v>
      </c>
      <c r="F62">
        <v>-1410</v>
      </c>
      <c r="G62">
        <v>-830</v>
      </c>
      <c r="H62">
        <v>-660</v>
      </c>
      <c r="I62">
        <v>-660</v>
      </c>
      <c r="J62">
        <v>-660</v>
      </c>
      <c r="K62">
        <v>-1310</v>
      </c>
      <c r="L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2B6D-3F13-4848-990A-8B12B360BEED}">
  <dimension ref="A1:F35"/>
  <sheetViews>
    <sheetView workbookViewId="0">
      <selection activeCell="A4" sqref="A4"/>
    </sheetView>
  </sheetViews>
  <sheetFormatPr defaultRowHeight="14.5" x14ac:dyDescent="0.35"/>
  <cols>
    <col min="1" max="1" width="11.1796875" bestFit="1" customWidth="1"/>
  </cols>
  <sheetData>
    <row r="1" spans="1:6" x14ac:dyDescent="0.35">
      <c r="A1" t="s">
        <v>151</v>
      </c>
      <c r="B1">
        <v>1</v>
      </c>
    </row>
    <row r="3" spans="1:6" x14ac:dyDescent="0.35">
      <c r="A3" t="s">
        <v>152</v>
      </c>
      <c r="B3" t="s">
        <v>83</v>
      </c>
      <c r="C3" t="s">
        <v>83</v>
      </c>
      <c r="D3" t="s">
        <v>83</v>
      </c>
      <c r="E3" t="s">
        <v>158</v>
      </c>
      <c r="F3" t="s">
        <v>158</v>
      </c>
    </row>
    <row r="4" spans="1:6" x14ac:dyDescent="0.35">
      <c r="A4" t="s">
        <v>0</v>
      </c>
      <c r="B4" t="s">
        <v>55</v>
      </c>
      <c r="C4" t="s">
        <v>15</v>
      </c>
      <c r="D4" t="s">
        <v>84</v>
      </c>
      <c r="E4" t="s">
        <v>52</v>
      </c>
      <c r="F4" t="s">
        <v>56</v>
      </c>
    </row>
    <row r="6" spans="1:6" x14ac:dyDescent="0.35">
      <c r="A6" t="s">
        <v>172</v>
      </c>
      <c r="B6">
        <v>1</v>
      </c>
      <c r="C6">
        <v>0</v>
      </c>
      <c r="D6">
        <v>0</v>
      </c>
      <c r="E6">
        <v>1</v>
      </c>
      <c r="F6">
        <v>3</v>
      </c>
    </row>
    <row r="7" spans="1:6" x14ac:dyDescent="0.35">
      <c r="A7" t="s">
        <v>173</v>
      </c>
      <c r="B7">
        <v>0</v>
      </c>
      <c r="C7">
        <v>1</v>
      </c>
      <c r="D7">
        <v>0</v>
      </c>
      <c r="E7">
        <v>2</v>
      </c>
      <c r="F7">
        <v>2</v>
      </c>
    </row>
    <row r="8" spans="1:6" x14ac:dyDescent="0.35">
      <c r="A8" t="s">
        <v>174</v>
      </c>
      <c r="B8">
        <v>0</v>
      </c>
      <c r="C8">
        <v>0</v>
      </c>
      <c r="D8">
        <v>1</v>
      </c>
      <c r="E8">
        <v>1</v>
      </c>
      <c r="F8">
        <v>3</v>
      </c>
    </row>
    <row r="10" spans="1:6" x14ac:dyDescent="0.35">
      <c r="A10" t="s">
        <v>157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35">
      <c r="A12" t="s">
        <v>153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154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5">
      <c r="A14" t="s">
        <v>155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35">
      <c r="A15" t="s">
        <v>156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35">
      <c r="A17" t="s">
        <v>2</v>
      </c>
      <c r="B17" t="s">
        <v>159</v>
      </c>
      <c r="C17" t="s">
        <v>86</v>
      </c>
      <c r="D17" t="s">
        <v>85</v>
      </c>
    </row>
    <row r="18" spans="1:4" x14ac:dyDescent="0.35">
      <c r="A18" t="s">
        <v>159</v>
      </c>
      <c r="B18">
        <v>0</v>
      </c>
      <c r="C18" s="2">
        <v>14600</v>
      </c>
      <c r="D18" s="2">
        <v>24100</v>
      </c>
    </row>
    <row r="19" spans="1:4" x14ac:dyDescent="0.35">
      <c r="A19" t="s">
        <v>86</v>
      </c>
      <c r="B19" s="2">
        <v>14600</v>
      </c>
      <c r="C19">
        <v>0</v>
      </c>
      <c r="D19" s="2">
        <v>48500</v>
      </c>
    </row>
    <row r="20" spans="1:4" x14ac:dyDescent="0.35">
      <c r="A20" t="s">
        <v>85</v>
      </c>
      <c r="B20" s="2">
        <v>24100</v>
      </c>
      <c r="C20" s="2">
        <v>48500</v>
      </c>
      <c r="D20">
        <v>0</v>
      </c>
    </row>
    <row r="22" spans="1:4" x14ac:dyDescent="0.35">
      <c r="A22" t="s">
        <v>3</v>
      </c>
      <c r="B22" t="s">
        <v>159</v>
      </c>
      <c r="C22" t="s">
        <v>86</v>
      </c>
      <c r="D22" t="s">
        <v>85</v>
      </c>
    </row>
    <row r="23" spans="1:4" x14ac:dyDescent="0.35">
      <c r="A23" t="s">
        <v>159</v>
      </c>
      <c r="B23">
        <v>0</v>
      </c>
      <c r="C23">
        <v>-9.35</v>
      </c>
      <c r="D23">
        <v>-9.57</v>
      </c>
    </row>
    <row r="24" spans="1:4" x14ac:dyDescent="0.35">
      <c r="A24" t="s">
        <v>86</v>
      </c>
      <c r="B24">
        <v>-9.35</v>
      </c>
      <c r="C24">
        <v>0</v>
      </c>
      <c r="D24">
        <v>0</v>
      </c>
    </row>
    <row r="25" spans="1:4" x14ac:dyDescent="0.35">
      <c r="A25" t="s">
        <v>85</v>
      </c>
      <c r="B25">
        <v>-9.57</v>
      </c>
      <c r="C25">
        <v>0</v>
      </c>
      <c r="D25">
        <v>0</v>
      </c>
    </row>
    <row r="27" spans="1:4" x14ac:dyDescent="0.35">
      <c r="A27" t="s">
        <v>4</v>
      </c>
      <c r="B27" t="s">
        <v>159</v>
      </c>
      <c r="C27" t="s">
        <v>86</v>
      </c>
      <c r="D27" t="s">
        <v>85</v>
      </c>
    </row>
    <row r="28" spans="1:4" x14ac:dyDescent="0.35">
      <c r="A28" t="s">
        <v>159</v>
      </c>
      <c r="B28">
        <v>0</v>
      </c>
      <c r="C28">
        <v>-40</v>
      </c>
      <c r="D28" s="2">
        <v>338</v>
      </c>
    </row>
    <row r="29" spans="1:4" x14ac:dyDescent="0.35">
      <c r="A29" t="s">
        <v>86</v>
      </c>
      <c r="B29">
        <v>-40</v>
      </c>
      <c r="C29">
        <v>0</v>
      </c>
      <c r="D29">
        <v>-130</v>
      </c>
    </row>
    <row r="30" spans="1:4" x14ac:dyDescent="0.35">
      <c r="A30" t="s">
        <v>85</v>
      </c>
      <c r="B30" s="2">
        <v>338</v>
      </c>
      <c r="C30">
        <v>-130</v>
      </c>
      <c r="D30">
        <v>0</v>
      </c>
    </row>
    <row r="32" spans="1:4" x14ac:dyDescent="0.35">
      <c r="A32" t="s">
        <v>5</v>
      </c>
      <c r="B32" t="s">
        <v>159</v>
      </c>
      <c r="C32" t="s">
        <v>86</v>
      </c>
      <c r="D32" t="s">
        <v>85</v>
      </c>
    </row>
    <row r="33" spans="1:4" x14ac:dyDescent="0.35">
      <c r="A33" t="s">
        <v>6</v>
      </c>
      <c r="B33">
        <v>0.64700000000000002</v>
      </c>
      <c r="C33">
        <v>0.55000000000000004</v>
      </c>
      <c r="D33">
        <v>1</v>
      </c>
    </row>
    <row r="34" spans="1:4" x14ac:dyDescent="0.35">
      <c r="A34" t="s">
        <v>7</v>
      </c>
      <c r="B34">
        <v>0</v>
      </c>
      <c r="C34">
        <v>0</v>
      </c>
      <c r="D34">
        <v>0</v>
      </c>
    </row>
    <row r="35" spans="1:4" x14ac:dyDescent="0.35">
      <c r="A35" t="s">
        <v>8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08C5-857B-4921-B88E-7848905E6592}">
  <dimension ref="A1:F22"/>
  <sheetViews>
    <sheetView workbookViewId="0">
      <selection activeCell="F14" sqref="F14"/>
    </sheetView>
  </sheetViews>
  <sheetFormatPr defaultRowHeight="14.5" x14ac:dyDescent="0.35"/>
  <sheetData>
    <row r="1" spans="1:6" x14ac:dyDescent="0.35">
      <c r="A1" t="s">
        <v>151</v>
      </c>
      <c r="B1">
        <v>1</v>
      </c>
    </row>
    <row r="3" spans="1:6" x14ac:dyDescent="0.35">
      <c r="A3" t="s">
        <v>152</v>
      </c>
      <c r="B3" t="s">
        <v>9</v>
      </c>
      <c r="C3" t="s">
        <v>9</v>
      </c>
      <c r="D3" t="s">
        <v>14</v>
      </c>
      <c r="E3" t="s">
        <v>14</v>
      </c>
      <c r="F3" t="s">
        <v>14</v>
      </c>
    </row>
    <row r="4" spans="1:6" x14ac:dyDescent="0.35">
      <c r="A4" t="s">
        <v>0</v>
      </c>
      <c r="B4" t="s">
        <v>10</v>
      </c>
      <c r="C4" t="s">
        <v>11</v>
      </c>
      <c r="D4" t="s">
        <v>10</v>
      </c>
      <c r="E4" t="s">
        <v>11</v>
      </c>
      <c r="F4" t="s">
        <v>15</v>
      </c>
    </row>
    <row r="6" spans="1:6" x14ac:dyDescent="0.35">
      <c r="A6" t="s">
        <v>175</v>
      </c>
      <c r="B6" s="1">
        <v>1</v>
      </c>
      <c r="C6" s="1">
        <v>0</v>
      </c>
      <c r="D6" s="1">
        <v>0</v>
      </c>
      <c r="E6" s="1">
        <v>0</v>
      </c>
      <c r="F6" s="1">
        <v>1</v>
      </c>
    </row>
    <row r="7" spans="1:6" x14ac:dyDescent="0.35">
      <c r="A7" t="s">
        <v>176</v>
      </c>
      <c r="B7" s="1">
        <v>0</v>
      </c>
      <c r="C7" s="1">
        <v>1</v>
      </c>
      <c r="D7" s="1">
        <v>0</v>
      </c>
      <c r="E7" s="1">
        <v>1</v>
      </c>
      <c r="F7" s="1">
        <v>0</v>
      </c>
    </row>
    <row r="8" spans="1:6" x14ac:dyDescent="0.35">
      <c r="A8" t="s">
        <v>177</v>
      </c>
      <c r="B8" s="1">
        <v>1</v>
      </c>
      <c r="C8" s="1">
        <v>0</v>
      </c>
      <c r="D8" s="1">
        <v>1</v>
      </c>
      <c r="E8" s="1">
        <v>0</v>
      </c>
      <c r="F8" s="1">
        <v>0</v>
      </c>
    </row>
    <row r="9" spans="1:6" x14ac:dyDescent="0.35">
      <c r="A9" t="s">
        <v>178</v>
      </c>
      <c r="B9" s="1">
        <v>1</v>
      </c>
      <c r="C9" s="1">
        <v>0</v>
      </c>
      <c r="D9" s="1">
        <v>0</v>
      </c>
      <c r="E9" s="1">
        <v>1</v>
      </c>
      <c r="F9" s="1">
        <v>0</v>
      </c>
    </row>
    <row r="11" spans="1:6" x14ac:dyDescent="0.35">
      <c r="A11" t="s">
        <v>157</v>
      </c>
      <c r="B11">
        <v>1</v>
      </c>
      <c r="C11">
        <v>1</v>
      </c>
      <c r="D11">
        <v>1</v>
      </c>
      <c r="E11">
        <v>1</v>
      </c>
      <c r="F11">
        <v>1</v>
      </c>
    </row>
    <row r="13" spans="1:6" x14ac:dyDescent="0.35">
      <c r="A13" t="s">
        <v>153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5">
      <c r="A14" t="s">
        <v>154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5">
      <c r="A15" t="s">
        <v>155</v>
      </c>
      <c r="B15">
        <f>1/15</f>
        <v>6.6666666666666666E-2</v>
      </c>
      <c r="C15">
        <f t="shared" ref="C15:F15" si="0">1/15</f>
        <v>6.6666666666666666E-2</v>
      </c>
      <c r="D15">
        <f t="shared" si="0"/>
        <v>6.6666666666666666E-2</v>
      </c>
      <c r="E15">
        <f t="shared" si="0"/>
        <v>6.6666666666666666E-2</v>
      </c>
      <c r="F15">
        <f t="shared" si="0"/>
        <v>6.6666666666666666E-2</v>
      </c>
    </row>
    <row r="16" spans="1:6" x14ac:dyDescent="0.35">
      <c r="A16" t="s">
        <v>156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35">
      <c r="A18" t="s">
        <v>2</v>
      </c>
      <c r="B18" t="s">
        <v>16</v>
      </c>
      <c r="C18" t="s">
        <v>12</v>
      </c>
      <c r="D18" t="s">
        <v>13</v>
      </c>
      <c r="E18" t="s">
        <v>17</v>
      </c>
    </row>
    <row r="19" spans="1:5" x14ac:dyDescent="0.35">
      <c r="A19" t="s">
        <v>16</v>
      </c>
      <c r="B19" s="1">
        <v>0</v>
      </c>
      <c r="C19" s="1">
        <v>24000</v>
      </c>
      <c r="D19" s="2">
        <v>38000</v>
      </c>
      <c r="E19" s="2">
        <v>24000</v>
      </c>
    </row>
    <row r="20" spans="1:5" x14ac:dyDescent="0.35">
      <c r="A20" t="s">
        <v>12</v>
      </c>
      <c r="B20" s="1">
        <v>24000</v>
      </c>
      <c r="C20" s="1">
        <v>0</v>
      </c>
      <c r="D20" s="2">
        <v>9000</v>
      </c>
      <c r="E20" s="2">
        <v>4500</v>
      </c>
    </row>
    <row r="21" spans="1:5" x14ac:dyDescent="0.35">
      <c r="A21" t="s">
        <v>13</v>
      </c>
      <c r="B21" s="2">
        <v>38000</v>
      </c>
      <c r="C21" s="2">
        <v>9000</v>
      </c>
      <c r="D21">
        <v>0</v>
      </c>
      <c r="E21" s="2">
        <v>4500</v>
      </c>
    </row>
    <row r="22" spans="1:5" x14ac:dyDescent="0.35">
      <c r="A22" t="s">
        <v>17</v>
      </c>
      <c r="B22" s="2">
        <v>24000</v>
      </c>
      <c r="C22" s="2">
        <v>4500</v>
      </c>
      <c r="D22" s="2">
        <v>4500</v>
      </c>
      <c r="E2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2132-BA46-451F-AE41-94B928E23AD4}">
  <dimension ref="A1:I38"/>
  <sheetViews>
    <sheetView workbookViewId="0">
      <selection activeCell="F36" sqref="F36"/>
    </sheetView>
  </sheetViews>
  <sheetFormatPr defaultRowHeight="14.5" x14ac:dyDescent="0.35"/>
  <cols>
    <col min="1" max="1" width="13.453125" bestFit="1" customWidth="1"/>
    <col min="3" max="3" width="9" bestFit="1" customWidth="1"/>
  </cols>
  <sheetData>
    <row r="1" spans="1:9" x14ac:dyDescent="0.35">
      <c r="A1" t="s">
        <v>151</v>
      </c>
      <c r="B1">
        <v>1</v>
      </c>
    </row>
    <row r="3" spans="1:9" x14ac:dyDescent="0.35">
      <c r="A3" t="s">
        <v>152</v>
      </c>
      <c r="B3" t="s">
        <v>83</v>
      </c>
      <c r="C3" t="s">
        <v>83</v>
      </c>
      <c r="D3" t="s">
        <v>83</v>
      </c>
      <c r="E3" t="s">
        <v>83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5">
      <c r="A4" t="s">
        <v>0</v>
      </c>
      <c r="B4" t="s">
        <v>11</v>
      </c>
      <c r="C4" t="s">
        <v>54</v>
      </c>
      <c r="D4" t="s">
        <v>11</v>
      </c>
      <c r="E4" t="s">
        <v>10</v>
      </c>
      <c r="F4" t="s">
        <v>11</v>
      </c>
      <c r="G4" t="s">
        <v>54</v>
      </c>
      <c r="H4" t="s">
        <v>11</v>
      </c>
      <c r="I4" t="s">
        <v>10</v>
      </c>
    </row>
    <row r="6" spans="1:9" x14ac:dyDescent="0.35">
      <c r="A6" t="s">
        <v>202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</row>
    <row r="7" spans="1:9" x14ac:dyDescent="0.35">
      <c r="A7" t="s">
        <v>203</v>
      </c>
      <c r="B7">
        <v>0.5</v>
      </c>
      <c r="C7" s="1">
        <v>0.5</v>
      </c>
      <c r="D7" s="1">
        <v>0</v>
      </c>
      <c r="E7">
        <v>0</v>
      </c>
      <c r="F7">
        <v>0.5</v>
      </c>
      <c r="G7" s="1">
        <v>0.5</v>
      </c>
      <c r="H7" s="1">
        <v>0</v>
      </c>
      <c r="I7" s="1">
        <v>0</v>
      </c>
    </row>
    <row r="8" spans="1:9" x14ac:dyDescent="0.35">
      <c r="A8" t="s">
        <v>204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</row>
    <row r="9" spans="1:9" x14ac:dyDescent="0.35">
      <c r="A9" t="s">
        <v>205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</row>
    <row r="10" spans="1:9" x14ac:dyDescent="0.35">
      <c r="A10" t="s">
        <v>206</v>
      </c>
      <c r="B10">
        <v>0</v>
      </c>
      <c r="C10">
        <v>0.5</v>
      </c>
      <c r="D10">
        <v>0</v>
      </c>
      <c r="E10">
        <v>0.5</v>
      </c>
      <c r="F10">
        <v>0</v>
      </c>
      <c r="G10">
        <v>0.5</v>
      </c>
      <c r="H10">
        <v>0</v>
      </c>
      <c r="I10">
        <v>0.5</v>
      </c>
    </row>
    <row r="12" spans="1:9" x14ac:dyDescent="0.35">
      <c r="A12" t="s">
        <v>157</v>
      </c>
      <c r="B12">
        <v>0.5</v>
      </c>
      <c r="C12">
        <v>0.5</v>
      </c>
      <c r="D12">
        <v>0.5</v>
      </c>
      <c r="E12">
        <v>0.5</v>
      </c>
      <c r="F12">
        <v>0.5</v>
      </c>
      <c r="G12">
        <v>0.5</v>
      </c>
      <c r="H12">
        <v>0.5</v>
      </c>
      <c r="I12">
        <v>0.5</v>
      </c>
    </row>
    <row r="14" spans="1:9" x14ac:dyDescent="0.35">
      <c r="A14" t="s">
        <v>153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154</v>
      </c>
      <c r="B15">
        <v>1</v>
      </c>
      <c r="C15">
        <v>1</v>
      </c>
      <c r="D15">
        <v>1</v>
      </c>
      <c r="E15">
        <v>0.1</v>
      </c>
      <c r="F15">
        <v>1</v>
      </c>
      <c r="G15">
        <v>1</v>
      </c>
      <c r="H15">
        <v>1</v>
      </c>
      <c r="I15">
        <v>0.1</v>
      </c>
    </row>
    <row r="16" spans="1:9" x14ac:dyDescent="0.35">
      <c r="A16" t="s">
        <v>155</v>
      </c>
      <c r="B16">
        <v>6.7000000000000004E-2</v>
      </c>
      <c r="C16">
        <v>6.7000000000000004E-2</v>
      </c>
      <c r="D16">
        <v>6.7000000000000004E-2</v>
      </c>
      <c r="E16">
        <v>6.7000000000000004E-2</v>
      </c>
      <c r="F16">
        <v>6.7000000000000004E-2</v>
      </c>
      <c r="G16">
        <v>6.7000000000000004E-2</v>
      </c>
      <c r="H16">
        <v>6.7000000000000004E-2</v>
      </c>
      <c r="I16">
        <v>6.7000000000000004E-2</v>
      </c>
    </row>
    <row r="17" spans="1:9" x14ac:dyDescent="0.35">
      <c r="A17" t="s">
        <v>156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9" spans="1:9" x14ac:dyDescent="0.35">
      <c r="A19" t="s">
        <v>2</v>
      </c>
      <c r="B19" t="s">
        <v>88</v>
      </c>
      <c r="C19" t="s">
        <v>89</v>
      </c>
      <c r="D19" t="s">
        <v>207</v>
      </c>
      <c r="E19" t="s">
        <v>200</v>
      </c>
      <c r="F19" t="s">
        <v>201</v>
      </c>
    </row>
    <row r="20" spans="1:9" x14ac:dyDescent="0.35">
      <c r="A20" t="s">
        <v>88</v>
      </c>
      <c r="B20">
        <v>0</v>
      </c>
      <c r="C20" s="2">
        <v>7050</v>
      </c>
      <c r="D20" s="2">
        <v>14300</v>
      </c>
      <c r="E20">
        <v>-7600</v>
      </c>
      <c r="F20">
        <v>600</v>
      </c>
    </row>
    <row r="21" spans="1:9" x14ac:dyDescent="0.35">
      <c r="A21" t="s">
        <v>89</v>
      </c>
      <c r="B21" s="2">
        <v>7050</v>
      </c>
      <c r="C21">
        <v>0</v>
      </c>
      <c r="D21" s="2">
        <v>7250</v>
      </c>
      <c r="E21">
        <v>-5500</v>
      </c>
      <c r="F21" s="2">
        <v>-2200</v>
      </c>
    </row>
    <row r="22" spans="1:9" x14ac:dyDescent="0.35">
      <c r="A22" t="s">
        <v>207</v>
      </c>
      <c r="B22" s="2">
        <v>14300</v>
      </c>
      <c r="C22" s="2">
        <v>7250</v>
      </c>
      <c r="D22">
        <v>0</v>
      </c>
      <c r="E22">
        <v>12500</v>
      </c>
      <c r="F22" s="2">
        <v>2700</v>
      </c>
    </row>
    <row r="23" spans="1:9" x14ac:dyDescent="0.35">
      <c r="A23" t="s">
        <v>200</v>
      </c>
      <c r="B23">
        <v>-7600</v>
      </c>
      <c r="C23">
        <v>-5500</v>
      </c>
      <c r="D23">
        <v>12500</v>
      </c>
      <c r="E23">
        <v>0</v>
      </c>
      <c r="F23">
        <v>8300</v>
      </c>
    </row>
    <row r="24" spans="1:9" x14ac:dyDescent="0.35">
      <c r="A24" t="s">
        <v>201</v>
      </c>
      <c r="B24">
        <v>600</v>
      </c>
      <c r="C24" s="2">
        <v>-2200</v>
      </c>
      <c r="D24" s="2">
        <v>2700</v>
      </c>
      <c r="E24">
        <v>8300</v>
      </c>
      <c r="F24">
        <v>0</v>
      </c>
    </row>
    <row r="26" spans="1:9" x14ac:dyDescent="0.35">
      <c r="A26" t="s">
        <v>3</v>
      </c>
      <c r="B26" t="s">
        <v>88</v>
      </c>
      <c r="C26" t="s">
        <v>89</v>
      </c>
      <c r="D26" t="s">
        <v>207</v>
      </c>
      <c r="E26" t="s">
        <v>200</v>
      </c>
      <c r="F26" t="s">
        <v>201</v>
      </c>
    </row>
    <row r="27" spans="1:9" x14ac:dyDescent="0.35">
      <c r="A27" t="s">
        <v>88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9" x14ac:dyDescent="0.35">
      <c r="A28" t="s">
        <v>89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9" x14ac:dyDescent="0.35">
      <c r="A29" t="s">
        <v>207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9" x14ac:dyDescent="0.35">
      <c r="A30" t="s">
        <v>200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9" x14ac:dyDescent="0.35">
      <c r="A31" t="s">
        <v>201</v>
      </c>
      <c r="B31">
        <v>0</v>
      </c>
      <c r="C31">
        <v>0</v>
      </c>
      <c r="D31">
        <v>0</v>
      </c>
      <c r="E31">
        <v>0</v>
      </c>
      <c r="F31">
        <v>0</v>
      </c>
    </row>
    <row r="33" spans="1:6" x14ac:dyDescent="0.35">
      <c r="A33" t="s">
        <v>4</v>
      </c>
      <c r="B33" t="s">
        <v>88</v>
      </c>
      <c r="C33" t="s">
        <v>89</v>
      </c>
      <c r="D33" t="s">
        <v>207</v>
      </c>
      <c r="E33" t="s">
        <v>200</v>
      </c>
      <c r="F33" t="s">
        <v>201</v>
      </c>
    </row>
    <row r="34" spans="1:6" x14ac:dyDescent="0.35">
      <c r="A34" t="s">
        <v>88</v>
      </c>
      <c r="B34">
        <v>0</v>
      </c>
      <c r="C34">
        <v>130</v>
      </c>
      <c r="D34">
        <v>0</v>
      </c>
      <c r="E34">
        <v>0</v>
      </c>
      <c r="F34">
        <v>0</v>
      </c>
    </row>
    <row r="35" spans="1:6" x14ac:dyDescent="0.35">
      <c r="A35" t="s">
        <v>89</v>
      </c>
      <c r="B35">
        <v>130</v>
      </c>
      <c r="C35">
        <v>0</v>
      </c>
      <c r="D35">
        <v>-130</v>
      </c>
      <c r="E35">
        <v>0</v>
      </c>
      <c r="F35">
        <v>0</v>
      </c>
    </row>
    <row r="36" spans="1:6" x14ac:dyDescent="0.35">
      <c r="A36" t="s">
        <v>207</v>
      </c>
      <c r="B36">
        <v>0</v>
      </c>
      <c r="C36">
        <v>-130</v>
      </c>
      <c r="D36">
        <v>0</v>
      </c>
      <c r="E36">
        <v>0</v>
      </c>
      <c r="F36">
        <v>0</v>
      </c>
    </row>
    <row r="37" spans="1:6" x14ac:dyDescent="0.35">
      <c r="A37" t="s">
        <v>200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 t="s">
        <v>201</v>
      </c>
      <c r="B38">
        <v>0</v>
      </c>
      <c r="C38">
        <v>0</v>
      </c>
      <c r="D38">
        <v>0</v>
      </c>
      <c r="E38">
        <v>0</v>
      </c>
      <c r="F3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2AA7-14DE-4A41-B16E-9624765AFF4E}">
  <dimension ref="A1:M48"/>
  <sheetViews>
    <sheetView workbookViewId="0">
      <selection activeCell="L41" sqref="L41"/>
    </sheetView>
  </sheetViews>
  <sheetFormatPr defaultRowHeight="14.5" x14ac:dyDescent="0.35"/>
  <sheetData>
    <row r="1" spans="1:13" x14ac:dyDescent="0.35">
      <c r="A1" t="s">
        <v>151</v>
      </c>
      <c r="B1">
        <v>1</v>
      </c>
    </row>
    <row r="3" spans="1:13" x14ac:dyDescent="0.35">
      <c r="A3" t="s">
        <v>152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14</v>
      </c>
      <c r="I3" t="s">
        <v>14</v>
      </c>
      <c r="J3" t="s">
        <v>14</v>
      </c>
      <c r="K3" t="s">
        <v>14</v>
      </c>
      <c r="L3" t="s">
        <v>51</v>
      </c>
      <c r="M3" t="s">
        <v>51</v>
      </c>
    </row>
    <row r="4" spans="1:13" x14ac:dyDescent="0.35">
      <c r="A4" t="s">
        <v>0</v>
      </c>
      <c r="B4" t="s">
        <v>10</v>
      </c>
      <c r="C4" t="s">
        <v>11</v>
      </c>
      <c r="D4" t="s">
        <v>52</v>
      </c>
      <c r="E4" t="s">
        <v>72</v>
      </c>
      <c r="F4" t="s">
        <v>53</v>
      </c>
      <c r="G4" t="s">
        <v>54</v>
      </c>
      <c r="H4" t="s">
        <v>10</v>
      </c>
      <c r="I4" t="s">
        <v>11</v>
      </c>
      <c r="J4" t="s">
        <v>15</v>
      </c>
      <c r="K4" t="s">
        <v>55</v>
      </c>
      <c r="L4" t="s">
        <v>56</v>
      </c>
      <c r="M4" t="s">
        <v>52</v>
      </c>
    </row>
    <row r="6" spans="1:13" x14ac:dyDescent="0.35">
      <c r="A6" t="s">
        <v>191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2</v>
      </c>
      <c r="M6">
        <v>0</v>
      </c>
    </row>
    <row r="7" spans="1:13" x14ac:dyDescent="0.35">
      <c r="A7" t="s">
        <v>192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2</v>
      </c>
      <c r="M7">
        <v>0</v>
      </c>
    </row>
    <row r="8" spans="1:13" x14ac:dyDescent="0.35">
      <c r="A8" t="s">
        <v>193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</row>
    <row r="9" spans="1:13" x14ac:dyDescent="0.35">
      <c r="A9" t="s">
        <v>194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2</v>
      </c>
      <c r="M9">
        <v>0</v>
      </c>
    </row>
    <row r="10" spans="1:13" x14ac:dyDescent="0.35">
      <c r="A10" t="s">
        <v>195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 x14ac:dyDescent="0.35">
      <c r="A11" t="s">
        <v>196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 x14ac:dyDescent="0.35">
      <c r="A12" t="s">
        <v>197</v>
      </c>
      <c r="B12">
        <v>0.5</v>
      </c>
      <c r="C12">
        <v>0</v>
      </c>
      <c r="D12">
        <v>0</v>
      </c>
      <c r="E12">
        <v>0</v>
      </c>
      <c r="F12">
        <v>0</v>
      </c>
      <c r="G12">
        <v>0.5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 x14ac:dyDescent="0.35">
      <c r="A13" t="s">
        <v>198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 x14ac:dyDescent="0.35">
      <c r="A14" t="s">
        <v>199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2</v>
      </c>
      <c r="M14">
        <v>0</v>
      </c>
    </row>
    <row r="16" spans="1:13" x14ac:dyDescent="0.35">
      <c r="A16" t="s">
        <v>157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s="1">
        <v>0.5</v>
      </c>
      <c r="M16" s="1">
        <v>0.5</v>
      </c>
    </row>
    <row r="18" spans="1:13" x14ac:dyDescent="0.35">
      <c r="A18" t="s">
        <v>153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 t="s">
        <v>154</v>
      </c>
      <c r="B19">
        <v>1</v>
      </c>
      <c r="C19">
        <v>1</v>
      </c>
      <c r="D19">
        <v>1</v>
      </c>
      <c r="E19">
        <v>1</v>
      </c>
      <c r="F19">
        <v>0.1</v>
      </c>
      <c r="G19">
        <v>0.1</v>
      </c>
      <c r="H19">
        <v>1</v>
      </c>
      <c r="I19">
        <v>1</v>
      </c>
      <c r="J19">
        <v>0.1</v>
      </c>
      <c r="K19">
        <v>0.1</v>
      </c>
      <c r="L19">
        <v>1</v>
      </c>
      <c r="M19">
        <v>1</v>
      </c>
    </row>
    <row r="20" spans="1:13" x14ac:dyDescent="0.35">
      <c r="A20" t="s">
        <v>155</v>
      </c>
      <c r="B20">
        <f>1/3</f>
        <v>0.33333333333333331</v>
      </c>
      <c r="C20">
        <f t="shared" ref="C20:M20" si="0">1/3</f>
        <v>0.33333333333333331</v>
      </c>
      <c r="D20">
        <f t="shared" si="0"/>
        <v>0.33333333333333331</v>
      </c>
      <c r="E20">
        <f t="shared" si="0"/>
        <v>0.33333333333333331</v>
      </c>
      <c r="F20">
        <f t="shared" si="0"/>
        <v>0.33333333333333331</v>
      </c>
      <c r="G20">
        <f t="shared" si="0"/>
        <v>0.33333333333333331</v>
      </c>
      <c r="H20">
        <f t="shared" si="0"/>
        <v>0.33333333333333331</v>
      </c>
      <c r="I20">
        <f t="shared" si="0"/>
        <v>0.33333333333333331</v>
      </c>
      <c r="J20">
        <f t="shared" si="0"/>
        <v>0.33333333333333331</v>
      </c>
      <c r="K20">
        <f t="shared" si="0"/>
        <v>0.33333333333333331</v>
      </c>
      <c r="L20">
        <f t="shared" si="0"/>
        <v>0.33333333333333331</v>
      </c>
      <c r="M20">
        <f t="shared" si="0"/>
        <v>0.33333333333333331</v>
      </c>
    </row>
    <row r="21" spans="1:13" x14ac:dyDescent="0.35">
      <c r="A21" t="s">
        <v>156</v>
      </c>
      <c r="B21">
        <v>0</v>
      </c>
      <c r="C21">
        <v>0</v>
      </c>
      <c r="D21">
        <v>0</v>
      </c>
      <c r="E21">
        <v>0</v>
      </c>
      <c r="F21">
        <v>3</v>
      </c>
      <c r="G21">
        <v>3</v>
      </c>
      <c r="H21">
        <v>0</v>
      </c>
      <c r="I21">
        <v>0</v>
      </c>
      <c r="J21">
        <v>3</v>
      </c>
      <c r="K21">
        <v>3</v>
      </c>
      <c r="L21">
        <v>0</v>
      </c>
      <c r="M21">
        <v>0</v>
      </c>
    </row>
    <row r="23" spans="1:13" x14ac:dyDescent="0.35">
      <c r="A23" t="s">
        <v>2</v>
      </c>
      <c r="B23" t="s">
        <v>57</v>
      </c>
      <c r="C23" t="s">
        <v>58</v>
      </c>
      <c r="D23" t="s">
        <v>59</v>
      </c>
      <c r="E23" t="s">
        <v>60</v>
      </c>
      <c r="F23" t="s">
        <v>61</v>
      </c>
      <c r="G23" t="s">
        <v>62</v>
      </c>
      <c r="H23" t="s">
        <v>63</v>
      </c>
      <c r="I23" t="s">
        <v>64</v>
      </c>
      <c r="J23" t="s">
        <v>65</v>
      </c>
    </row>
    <row r="24" spans="1:13" x14ac:dyDescent="0.35">
      <c r="A24" t="s">
        <v>57</v>
      </c>
      <c r="B24">
        <v>0</v>
      </c>
      <c r="C24">
        <v>7000</v>
      </c>
      <c r="D24">
        <v>3500</v>
      </c>
      <c r="E24">
        <v>29000</v>
      </c>
      <c r="F24">
        <v>12500</v>
      </c>
      <c r="G24">
        <v>8000</v>
      </c>
      <c r="H24">
        <v>6000</v>
      </c>
      <c r="I24">
        <v>8000</v>
      </c>
      <c r="J24">
        <v>35000</v>
      </c>
    </row>
    <row r="25" spans="1:13" x14ac:dyDescent="0.35">
      <c r="A25" t="s">
        <v>58</v>
      </c>
      <c r="B25">
        <v>7000</v>
      </c>
      <c r="C25">
        <v>0</v>
      </c>
      <c r="D25">
        <v>4500</v>
      </c>
      <c r="E25">
        <v>23000</v>
      </c>
      <c r="F25">
        <v>11000</v>
      </c>
      <c r="G25">
        <v>10000</v>
      </c>
      <c r="H25">
        <v>7000</v>
      </c>
      <c r="I25">
        <v>10000</v>
      </c>
      <c r="J25">
        <v>35000</v>
      </c>
    </row>
    <row r="26" spans="1:13" x14ac:dyDescent="0.35">
      <c r="A26" t="s">
        <v>59</v>
      </c>
      <c r="B26">
        <v>3500</v>
      </c>
      <c r="C26">
        <v>4500</v>
      </c>
      <c r="D26">
        <v>0</v>
      </c>
      <c r="E26">
        <v>19000</v>
      </c>
      <c r="F26">
        <v>15000</v>
      </c>
      <c r="G26">
        <v>12000</v>
      </c>
      <c r="H26">
        <v>8000</v>
      </c>
      <c r="I26">
        <v>12000</v>
      </c>
      <c r="J26">
        <v>35000</v>
      </c>
    </row>
    <row r="27" spans="1:13" x14ac:dyDescent="0.35">
      <c r="A27" t="s">
        <v>60</v>
      </c>
      <c r="B27">
        <v>29000</v>
      </c>
      <c r="C27">
        <v>23000</v>
      </c>
      <c r="D27">
        <v>19000</v>
      </c>
      <c r="E27">
        <v>0</v>
      </c>
      <c r="F27">
        <v>75500</v>
      </c>
      <c r="G27">
        <v>20000</v>
      </c>
      <c r="H27">
        <v>40000</v>
      </c>
      <c r="I27">
        <v>20000</v>
      </c>
      <c r="J27">
        <v>35000</v>
      </c>
    </row>
    <row r="28" spans="1:13" x14ac:dyDescent="0.35">
      <c r="A28" t="s">
        <v>61</v>
      </c>
      <c r="B28">
        <v>12500</v>
      </c>
      <c r="C28">
        <v>11000</v>
      </c>
      <c r="D28">
        <v>15000</v>
      </c>
      <c r="E28">
        <v>75500</v>
      </c>
      <c r="F28">
        <v>0</v>
      </c>
      <c r="G28">
        <v>2000</v>
      </c>
      <c r="H28">
        <v>10000</v>
      </c>
      <c r="I28">
        <v>2000</v>
      </c>
      <c r="J28">
        <v>7000</v>
      </c>
    </row>
    <row r="29" spans="1:13" x14ac:dyDescent="0.35">
      <c r="A29" t="s">
        <v>62</v>
      </c>
      <c r="B29">
        <v>8000</v>
      </c>
      <c r="C29">
        <v>10000</v>
      </c>
      <c r="D29">
        <v>12000</v>
      </c>
      <c r="E29">
        <v>20000</v>
      </c>
      <c r="F29">
        <v>2000</v>
      </c>
      <c r="G29">
        <v>0</v>
      </c>
      <c r="H29">
        <v>6000</v>
      </c>
      <c r="I29">
        <v>2000</v>
      </c>
      <c r="J29">
        <v>-11000</v>
      </c>
    </row>
    <row r="30" spans="1:13" x14ac:dyDescent="0.35">
      <c r="A30" t="s">
        <v>63</v>
      </c>
      <c r="B30">
        <v>6000</v>
      </c>
      <c r="C30">
        <v>7000</v>
      </c>
      <c r="D30">
        <v>8000</v>
      </c>
      <c r="E30">
        <v>40000</v>
      </c>
      <c r="F30">
        <v>10000</v>
      </c>
      <c r="G30">
        <v>6000</v>
      </c>
      <c r="H30">
        <v>0</v>
      </c>
      <c r="I30">
        <v>6000</v>
      </c>
      <c r="J30">
        <v>20000</v>
      </c>
    </row>
    <row r="31" spans="1:13" x14ac:dyDescent="0.35">
      <c r="A31" t="s">
        <v>64</v>
      </c>
      <c r="B31">
        <v>8000</v>
      </c>
      <c r="C31">
        <v>10000</v>
      </c>
      <c r="D31">
        <v>12000</v>
      </c>
      <c r="E31">
        <v>20000</v>
      </c>
      <c r="F31">
        <v>2000</v>
      </c>
      <c r="G31">
        <v>2000</v>
      </c>
      <c r="H31">
        <v>6000</v>
      </c>
      <c r="I31">
        <v>0</v>
      </c>
      <c r="J31">
        <v>-11000</v>
      </c>
    </row>
    <row r="32" spans="1:13" x14ac:dyDescent="0.35">
      <c r="A32" t="s">
        <v>65</v>
      </c>
      <c r="B32">
        <v>35000</v>
      </c>
      <c r="C32">
        <v>35000</v>
      </c>
      <c r="D32">
        <v>35000</v>
      </c>
      <c r="E32">
        <v>35000</v>
      </c>
      <c r="F32">
        <v>7000</v>
      </c>
      <c r="G32">
        <v>-11000</v>
      </c>
      <c r="H32">
        <v>20000</v>
      </c>
      <c r="I32">
        <v>-11000</v>
      </c>
      <c r="J32">
        <v>0</v>
      </c>
    </row>
    <row r="34" spans="1:10" x14ac:dyDescent="0.35">
      <c r="A34" t="s">
        <v>4</v>
      </c>
      <c r="B34" t="s">
        <v>57</v>
      </c>
      <c r="C34" t="s">
        <v>58</v>
      </c>
      <c r="D34" t="s">
        <v>59</v>
      </c>
      <c r="E34" t="s">
        <v>60</v>
      </c>
      <c r="F34" t="s">
        <v>61</v>
      </c>
      <c r="G34" t="s">
        <v>62</v>
      </c>
      <c r="H34" t="s">
        <v>63</v>
      </c>
      <c r="I34" t="s">
        <v>64</v>
      </c>
      <c r="J34" t="s">
        <v>65</v>
      </c>
    </row>
    <row r="35" spans="1:10" x14ac:dyDescent="0.35">
      <c r="A35" t="s">
        <v>57</v>
      </c>
      <c r="B35">
        <v>0</v>
      </c>
      <c r="C35">
        <v>0</v>
      </c>
      <c r="D35">
        <v>0</v>
      </c>
      <c r="E35">
        <v>150</v>
      </c>
      <c r="F35">
        <v>-40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 t="s">
        <v>58</v>
      </c>
      <c r="B36">
        <v>0</v>
      </c>
      <c r="C36">
        <v>0</v>
      </c>
      <c r="D36">
        <v>0</v>
      </c>
      <c r="E36">
        <v>80</v>
      </c>
      <c r="F36">
        <v>-150</v>
      </c>
      <c r="G36">
        <v>0</v>
      </c>
      <c r="H36">
        <v>0</v>
      </c>
      <c r="I36">
        <v>0</v>
      </c>
      <c r="J36">
        <v>0</v>
      </c>
    </row>
    <row r="37" spans="1:10" x14ac:dyDescent="0.35">
      <c r="A37" t="s">
        <v>59</v>
      </c>
      <c r="B37">
        <v>0</v>
      </c>
      <c r="C37">
        <v>0</v>
      </c>
      <c r="D37">
        <v>0</v>
      </c>
      <c r="E37">
        <v>80</v>
      </c>
      <c r="F37">
        <v>-150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 t="s">
        <v>60</v>
      </c>
      <c r="B38">
        <v>150</v>
      </c>
      <c r="C38">
        <v>80</v>
      </c>
      <c r="D38">
        <v>80</v>
      </c>
      <c r="E38">
        <v>0</v>
      </c>
      <c r="F38">
        <v>-840</v>
      </c>
      <c r="G38">
        <v>0</v>
      </c>
      <c r="H38">
        <v>0</v>
      </c>
      <c r="I38">
        <v>0</v>
      </c>
      <c r="J38">
        <v>0</v>
      </c>
    </row>
    <row r="39" spans="1:10" x14ac:dyDescent="0.35">
      <c r="A39" t="s">
        <v>61</v>
      </c>
      <c r="B39">
        <v>-40</v>
      </c>
      <c r="C39">
        <v>-150</v>
      </c>
      <c r="D39">
        <v>-150</v>
      </c>
      <c r="E39">
        <v>-840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 t="s">
        <v>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5">
      <c r="A41" t="s">
        <v>63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 t="s">
        <v>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5">
      <c r="A43" t="s">
        <v>65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5" spans="1:10" x14ac:dyDescent="0.35">
      <c r="A45" t="s">
        <v>5</v>
      </c>
      <c r="B45" t="s">
        <v>57</v>
      </c>
      <c r="C45" t="s">
        <v>58</v>
      </c>
      <c r="D45" t="s">
        <v>59</v>
      </c>
      <c r="E45" t="s">
        <v>60</v>
      </c>
      <c r="F45" t="s">
        <v>61</v>
      </c>
      <c r="G45" t="s">
        <v>62</v>
      </c>
      <c r="H45" t="s">
        <v>63</v>
      </c>
      <c r="I45" t="s">
        <v>64</v>
      </c>
      <c r="J45" t="s">
        <v>65</v>
      </c>
    </row>
    <row r="46" spans="1:10" x14ac:dyDescent="0.35">
      <c r="A46" t="s">
        <v>6</v>
      </c>
      <c r="B46">
        <v>1</v>
      </c>
      <c r="C46">
        <v>1</v>
      </c>
      <c r="D46">
        <v>1</v>
      </c>
      <c r="E46">
        <v>1.2</v>
      </c>
      <c r="F46">
        <v>1</v>
      </c>
      <c r="G46">
        <v>1</v>
      </c>
      <c r="H46">
        <v>1</v>
      </c>
      <c r="I46">
        <v>1</v>
      </c>
      <c r="J46">
        <v>1.2</v>
      </c>
    </row>
    <row r="47" spans="1:10" x14ac:dyDescent="0.35">
      <c r="A47" t="s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5">
      <c r="A48" t="s">
        <v>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7016-9392-4505-861D-62BF353CCFF7}">
  <dimension ref="A1:P111"/>
  <sheetViews>
    <sheetView workbookViewId="0">
      <selection activeCell="H23" sqref="H23"/>
    </sheetView>
  </sheetViews>
  <sheetFormatPr defaultRowHeight="14.5" x14ac:dyDescent="0.35"/>
  <cols>
    <col min="2" max="14" width="8.54296875" customWidth="1"/>
  </cols>
  <sheetData>
    <row r="1" spans="1:14" x14ac:dyDescent="0.35">
      <c r="A1" t="s">
        <v>151</v>
      </c>
      <c r="B1">
        <v>1</v>
      </c>
    </row>
    <row r="3" spans="1:14" x14ac:dyDescent="0.35">
      <c r="A3" t="s">
        <v>152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78</v>
      </c>
      <c r="N3" t="s">
        <v>78</v>
      </c>
    </row>
    <row r="4" spans="1:14" x14ac:dyDescent="0.35">
      <c r="A4" t="s">
        <v>0</v>
      </c>
      <c r="B4" t="s">
        <v>10</v>
      </c>
      <c r="C4" t="s">
        <v>11</v>
      </c>
      <c r="D4" t="s">
        <v>52</v>
      </c>
      <c r="E4" t="s">
        <v>11</v>
      </c>
      <c r="F4" t="s">
        <v>53</v>
      </c>
      <c r="G4" t="s">
        <v>54</v>
      </c>
      <c r="H4" t="s">
        <v>10</v>
      </c>
      <c r="I4" t="s">
        <v>11</v>
      </c>
      <c r="J4" t="s">
        <v>15</v>
      </c>
      <c r="K4" t="s">
        <v>55</v>
      </c>
      <c r="L4" t="s">
        <v>84</v>
      </c>
      <c r="M4" t="s">
        <v>56</v>
      </c>
      <c r="N4" t="s">
        <v>52</v>
      </c>
    </row>
    <row r="6" spans="1:14" x14ac:dyDescent="0.35">
      <c r="A6" t="s">
        <v>179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2</v>
      </c>
      <c r="N6" s="1">
        <v>0</v>
      </c>
    </row>
    <row r="7" spans="1:14" x14ac:dyDescent="0.35">
      <c r="A7" t="s">
        <v>180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2</v>
      </c>
      <c r="N7" s="1">
        <v>0</v>
      </c>
    </row>
    <row r="8" spans="1:14" x14ac:dyDescent="0.35">
      <c r="A8" t="s">
        <v>181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1</v>
      </c>
      <c r="N8" s="1">
        <v>1</v>
      </c>
    </row>
    <row r="9" spans="1:14" x14ac:dyDescent="0.35">
      <c r="A9" t="s">
        <v>182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1</v>
      </c>
      <c r="N9" s="1">
        <v>1</v>
      </c>
    </row>
    <row r="10" spans="1:14" x14ac:dyDescent="0.35">
      <c r="A10" t="s">
        <v>183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</row>
    <row r="11" spans="1:14" x14ac:dyDescent="0.35">
      <c r="A11" t="s">
        <v>184</v>
      </c>
      <c r="B11" s="1">
        <v>0.5</v>
      </c>
      <c r="C11" s="1">
        <v>0</v>
      </c>
      <c r="D11" s="1">
        <v>0</v>
      </c>
      <c r="E11" s="1">
        <v>0</v>
      </c>
      <c r="F11" s="1">
        <v>0</v>
      </c>
      <c r="G11" s="1">
        <v>0.5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1</v>
      </c>
      <c r="N11" s="1">
        <v>1</v>
      </c>
    </row>
    <row r="12" spans="1:14" x14ac:dyDescent="0.35">
      <c r="A12" t="s">
        <v>185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2</v>
      </c>
      <c r="N12" s="1">
        <v>0</v>
      </c>
    </row>
    <row r="13" spans="1:14" x14ac:dyDescent="0.35">
      <c r="A13" t="s">
        <v>188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2</v>
      </c>
      <c r="N13" s="1">
        <v>0</v>
      </c>
    </row>
    <row r="14" spans="1:14" x14ac:dyDescent="0.35">
      <c r="A14" t="s">
        <v>186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2</v>
      </c>
      <c r="N14" s="1">
        <v>0</v>
      </c>
    </row>
    <row r="15" spans="1:14" x14ac:dyDescent="0.35">
      <c r="A15" t="s">
        <v>187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2</v>
      </c>
      <c r="N15" s="1">
        <v>0</v>
      </c>
    </row>
    <row r="16" spans="1:14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6" x14ac:dyDescent="0.35">
      <c r="A17" t="s">
        <v>157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 s="1">
        <v>0.5</v>
      </c>
      <c r="N17" s="1">
        <v>0.5</v>
      </c>
    </row>
    <row r="19" spans="1:16" x14ac:dyDescent="0.35">
      <c r="A19" t="s">
        <v>153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6" x14ac:dyDescent="0.35">
      <c r="A20" t="s">
        <v>154</v>
      </c>
      <c r="B20">
        <v>1</v>
      </c>
      <c r="C20">
        <v>1</v>
      </c>
      <c r="D20">
        <v>1</v>
      </c>
      <c r="E20">
        <v>1</v>
      </c>
      <c r="F20">
        <v>0.1</v>
      </c>
      <c r="G20">
        <v>0.1</v>
      </c>
      <c r="H20">
        <v>1</v>
      </c>
      <c r="I20">
        <v>1</v>
      </c>
      <c r="J20">
        <v>1</v>
      </c>
      <c r="K20">
        <v>1</v>
      </c>
      <c r="L20">
        <v>0.1</v>
      </c>
      <c r="M20">
        <v>1</v>
      </c>
      <c r="N20">
        <v>1</v>
      </c>
    </row>
    <row r="21" spans="1:16" x14ac:dyDescent="0.35">
      <c r="A21" t="s">
        <v>155</v>
      </c>
      <c r="B21">
        <f>1/3</f>
        <v>0.33333333333333331</v>
      </c>
      <c r="C21">
        <f t="shared" ref="C21:N21" si="0">1/3</f>
        <v>0.33333333333333331</v>
      </c>
      <c r="D21">
        <f t="shared" si="0"/>
        <v>0.33333333333333331</v>
      </c>
      <c r="E21">
        <f t="shared" si="0"/>
        <v>0.33333333333333331</v>
      </c>
      <c r="F21">
        <f t="shared" si="0"/>
        <v>0.33333333333333331</v>
      </c>
      <c r="G21">
        <f t="shared" si="0"/>
        <v>0.33333333333333331</v>
      </c>
      <c r="H21">
        <f t="shared" si="0"/>
        <v>0.33333333333333331</v>
      </c>
      <c r="I21">
        <f t="shared" si="0"/>
        <v>0.33333333333333331</v>
      </c>
      <c r="J21">
        <f t="shared" si="0"/>
        <v>0.33333333333333331</v>
      </c>
      <c r="K21">
        <f t="shared" si="0"/>
        <v>0.33333333333333331</v>
      </c>
      <c r="L21">
        <f t="shared" si="0"/>
        <v>0.33333333333333331</v>
      </c>
      <c r="M21">
        <f t="shared" si="0"/>
        <v>0.33333333333333331</v>
      </c>
      <c r="N21">
        <f t="shared" si="0"/>
        <v>0.33333333333333331</v>
      </c>
    </row>
    <row r="22" spans="1:16" x14ac:dyDescent="0.35">
      <c r="A22" t="s">
        <v>156</v>
      </c>
      <c r="B22">
        <v>0</v>
      </c>
      <c r="C22">
        <v>0</v>
      </c>
      <c r="D22">
        <v>0</v>
      </c>
      <c r="E22">
        <v>0</v>
      </c>
      <c r="F22">
        <v>3</v>
      </c>
      <c r="G22">
        <v>3</v>
      </c>
      <c r="H22">
        <v>0</v>
      </c>
      <c r="I22">
        <v>0</v>
      </c>
      <c r="J22">
        <v>0</v>
      </c>
      <c r="K22">
        <v>0</v>
      </c>
      <c r="L22">
        <v>3</v>
      </c>
      <c r="M22">
        <v>0</v>
      </c>
      <c r="N22">
        <v>0</v>
      </c>
    </row>
    <row r="24" spans="1:16" x14ac:dyDescent="0.35">
      <c r="A24" t="s">
        <v>2</v>
      </c>
      <c r="B24" t="s">
        <v>73</v>
      </c>
      <c r="C24" t="s">
        <v>189</v>
      </c>
      <c r="D24" t="s">
        <v>190</v>
      </c>
      <c r="E24" t="s">
        <v>74</v>
      </c>
      <c r="F24" t="s">
        <v>75</v>
      </c>
      <c r="G24" t="s">
        <v>76</v>
      </c>
      <c r="H24" t="s">
        <v>77</v>
      </c>
      <c r="I24" t="s">
        <v>81</v>
      </c>
      <c r="J24" t="s">
        <v>79</v>
      </c>
      <c r="K24" t="s">
        <v>80</v>
      </c>
    </row>
    <row r="25" spans="1:16" x14ac:dyDescent="0.35">
      <c r="A25" t="s">
        <v>73</v>
      </c>
      <c r="B25">
        <v>0</v>
      </c>
      <c r="C25">
        <v>25800</v>
      </c>
      <c r="D25">
        <v>13000</v>
      </c>
      <c r="E25">
        <v>8000</v>
      </c>
      <c r="F25">
        <v>8000</v>
      </c>
      <c r="G25">
        <v>8000</v>
      </c>
      <c r="H25">
        <v>26000</v>
      </c>
      <c r="I25">
        <v>29800</v>
      </c>
      <c r="J25">
        <v>20600</v>
      </c>
      <c r="K25">
        <v>26000</v>
      </c>
    </row>
    <row r="26" spans="1:16" x14ac:dyDescent="0.35">
      <c r="A26" t="s">
        <v>189</v>
      </c>
      <c r="B26">
        <v>25800</v>
      </c>
      <c r="C26">
        <v>0</v>
      </c>
      <c r="D26">
        <v>25000</v>
      </c>
      <c r="E26">
        <v>38300</v>
      </c>
      <c r="F26">
        <v>43300</v>
      </c>
      <c r="G26">
        <v>24000</v>
      </c>
      <c r="H26">
        <v>24000</v>
      </c>
      <c r="I26">
        <v>2300</v>
      </c>
      <c r="J26">
        <v>3500</v>
      </c>
      <c r="K26">
        <v>24000</v>
      </c>
    </row>
    <row r="27" spans="1:16" x14ac:dyDescent="0.35">
      <c r="A27" t="s">
        <v>190</v>
      </c>
      <c r="B27">
        <v>13000</v>
      </c>
      <c r="C27">
        <v>25000</v>
      </c>
      <c r="D27" s="1">
        <v>0</v>
      </c>
      <c r="E27" s="1">
        <v>2000</v>
      </c>
      <c r="F27" s="1">
        <v>2000</v>
      </c>
      <c r="G27" s="1">
        <v>6000</v>
      </c>
      <c r="H27" s="1">
        <v>6000</v>
      </c>
      <c r="I27" s="1">
        <v>45200</v>
      </c>
      <c r="J27" s="1">
        <v>27000</v>
      </c>
      <c r="K27" s="1">
        <v>6000</v>
      </c>
    </row>
    <row r="28" spans="1:16" x14ac:dyDescent="0.35">
      <c r="A28" t="s">
        <v>74</v>
      </c>
      <c r="B28">
        <v>8000</v>
      </c>
      <c r="C28">
        <v>38300</v>
      </c>
      <c r="D28" s="1">
        <v>2000</v>
      </c>
      <c r="E28" s="1">
        <v>0</v>
      </c>
      <c r="F28" s="1">
        <v>2000</v>
      </c>
      <c r="G28" s="1">
        <v>6000</v>
      </c>
      <c r="H28" s="1">
        <v>3000</v>
      </c>
      <c r="I28" s="1">
        <v>52300</v>
      </c>
      <c r="J28" s="1">
        <v>40300</v>
      </c>
      <c r="K28" s="1">
        <v>3000</v>
      </c>
    </row>
    <row r="29" spans="1:16" x14ac:dyDescent="0.35">
      <c r="A29" t="s">
        <v>75</v>
      </c>
      <c r="B29">
        <v>8000</v>
      </c>
      <c r="C29">
        <v>43300</v>
      </c>
      <c r="D29" s="1">
        <v>2000</v>
      </c>
      <c r="E29" s="1">
        <v>2000</v>
      </c>
      <c r="F29" s="1">
        <v>0</v>
      </c>
      <c r="G29" s="1">
        <v>6000</v>
      </c>
      <c r="H29" s="1">
        <v>3000</v>
      </c>
      <c r="I29" s="1">
        <v>57300</v>
      </c>
      <c r="J29" s="1">
        <v>45300</v>
      </c>
      <c r="K29" s="1">
        <v>3000</v>
      </c>
    </row>
    <row r="30" spans="1:16" x14ac:dyDescent="0.35">
      <c r="A30" t="s">
        <v>76</v>
      </c>
      <c r="B30">
        <v>8000</v>
      </c>
      <c r="C30">
        <v>24000</v>
      </c>
      <c r="D30" s="1">
        <v>6000</v>
      </c>
      <c r="E30" s="1">
        <v>6000</v>
      </c>
      <c r="F30" s="1">
        <v>6000</v>
      </c>
      <c r="G30" s="1">
        <v>0</v>
      </c>
      <c r="H30" s="1">
        <v>16000</v>
      </c>
      <c r="I30" s="1">
        <v>24000</v>
      </c>
      <c r="J30" s="1">
        <v>22000</v>
      </c>
      <c r="K30" s="1">
        <v>16000</v>
      </c>
      <c r="O30" s="1"/>
      <c r="P30" s="1"/>
    </row>
    <row r="31" spans="1:16" x14ac:dyDescent="0.35">
      <c r="A31" t="s">
        <v>77</v>
      </c>
      <c r="B31">
        <v>26000</v>
      </c>
      <c r="C31">
        <v>24000</v>
      </c>
      <c r="D31" s="1">
        <v>6000</v>
      </c>
      <c r="E31" s="1">
        <v>3000</v>
      </c>
      <c r="F31" s="1">
        <v>3000</v>
      </c>
      <c r="G31" s="1">
        <v>16000</v>
      </c>
      <c r="H31" s="1">
        <v>0</v>
      </c>
      <c r="I31" s="1">
        <v>40000</v>
      </c>
      <c r="J31" s="1">
        <v>26000</v>
      </c>
      <c r="K31" s="1">
        <v>28000</v>
      </c>
      <c r="O31" s="1"/>
      <c r="P31" s="1"/>
    </row>
    <row r="32" spans="1:16" x14ac:dyDescent="0.35">
      <c r="A32" t="s">
        <v>81</v>
      </c>
      <c r="B32">
        <v>29800</v>
      </c>
      <c r="C32">
        <v>2300</v>
      </c>
      <c r="D32" s="1">
        <v>45200</v>
      </c>
      <c r="E32" s="1">
        <v>52300</v>
      </c>
      <c r="F32" s="1">
        <v>57300</v>
      </c>
      <c r="G32" s="1">
        <v>24000</v>
      </c>
      <c r="H32" s="1">
        <v>40000</v>
      </c>
      <c r="I32" s="1">
        <v>0</v>
      </c>
      <c r="J32" s="1">
        <v>4000</v>
      </c>
      <c r="K32" s="1">
        <v>40000</v>
      </c>
      <c r="L32" s="1"/>
      <c r="M32" s="1"/>
      <c r="N32" s="1"/>
      <c r="O32" s="1"/>
      <c r="P32" s="1"/>
    </row>
    <row r="33" spans="1:16" x14ac:dyDescent="0.35">
      <c r="A33" t="s">
        <v>79</v>
      </c>
      <c r="B33">
        <v>20600</v>
      </c>
      <c r="C33">
        <v>3500</v>
      </c>
      <c r="D33" s="1">
        <v>27000</v>
      </c>
      <c r="E33" s="1">
        <v>40300</v>
      </c>
      <c r="F33" s="1">
        <v>45300</v>
      </c>
      <c r="G33" s="1">
        <v>22000</v>
      </c>
      <c r="H33" s="1">
        <v>26000</v>
      </c>
      <c r="I33" s="1">
        <v>4000</v>
      </c>
      <c r="J33" s="1">
        <v>0</v>
      </c>
      <c r="K33" s="1">
        <v>40000</v>
      </c>
      <c r="L33" s="1"/>
      <c r="M33" s="1"/>
      <c r="N33" s="1"/>
      <c r="O33" s="1"/>
      <c r="P33" s="1"/>
    </row>
    <row r="34" spans="1:16" x14ac:dyDescent="0.35">
      <c r="A34" t="s">
        <v>80</v>
      </c>
      <c r="B34">
        <v>26000</v>
      </c>
      <c r="C34">
        <v>24000</v>
      </c>
      <c r="D34" s="1">
        <v>6000</v>
      </c>
      <c r="E34" s="1">
        <v>3000</v>
      </c>
      <c r="F34" s="1">
        <v>3000</v>
      </c>
      <c r="G34" s="1">
        <v>16000</v>
      </c>
      <c r="H34" s="1">
        <v>28000</v>
      </c>
      <c r="I34" s="1">
        <v>40000</v>
      </c>
      <c r="J34" s="1">
        <v>40000</v>
      </c>
      <c r="K34" s="1">
        <v>0</v>
      </c>
      <c r="L34" s="1"/>
      <c r="M34" s="1"/>
      <c r="N34" s="1"/>
      <c r="O34" s="1"/>
      <c r="P34" s="1"/>
    </row>
    <row r="35" spans="1:16" x14ac:dyDescent="0.35">
      <c r="L35" s="1"/>
      <c r="M35" s="1"/>
      <c r="N35" s="1"/>
      <c r="O35" s="1"/>
      <c r="P35" s="1"/>
    </row>
    <row r="36" spans="1:16" x14ac:dyDescent="0.35">
      <c r="A36" t="s">
        <v>3</v>
      </c>
      <c r="B36" t="s">
        <v>73</v>
      </c>
      <c r="C36" t="s">
        <v>189</v>
      </c>
      <c r="D36" t="s">
        <v>190</v>
      </c>
      <c r="E36" t="s">
        <v>74</v>
      </c>
      <c r="F36" t="s">
        <v>75</v>
      </c>
      <c r="G36" t="s">
        <v>76</v>
      </c>
      <c r="H36" t="s">
        <v>77</v>
      </c>
      <c r="I36" t="s">
        <v>81</v>
      </c>
      <c r="J36" t="s">
        <v>79</v>
      </c>
      <c r="K36" t="s">
        <v>80</v>
      </c>
      <c r="L36" s="1"/>
      <c r="M36" s="1"/>
      <c r="N36" s="1"/>
      <c r="O36" s="1"/>
      <c r="P36" s="1"/>
    </row>
    <row r="37" spans="1:16" x14ac:dyDescent="0.35">
      <c r="A37" t="s">
        <v>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"/>
      <c r="M37" s="1"/>
      <c r="N37" s="1"/>
      <c r="O37" s="1"/>
      <c r="P37" s="1"/>
    </row>
    <row r="38" spans="1:16" x14ac:dyDescent="0.35">
      <c r="A38" t="s">
        <v>189</v>
      </c>
      <c r="B38">
        <v>0</v>
      </c>
      <c r="C38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/>
      <c r="M38" s="1"/>
      <c r="N38" s="1"/>
      <c r="O38" s="1"/>
      <c r="P38" s="1"/>
    </row>
    <row r="39" spans="1:16" x14ac:dyDescent="0.35">
      <c r="A39" t="s">
        <v>190</v>
      </c>
      <c r="B39">
        <v>0</v>
      </c>
      <c r="C39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/>
      <c r="M39" s="1"/>
      <c r="N39" s="1"/>
      <c r="O39" s="1"/>
      <c r="P39" s="1"/>
    </row>
    <row r="40" spans="1:16" x14ac:dyDescent="0.35">
      <c r="A40" t="s">
        <v>74</v>
      </c>
      <c r="B40">
        <v>0</v>
      </c>
      <c r="C40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/>
      <c r="M40" s="1"/>
      <c r="N40" s="1"/>
    </row>
    <row r="41" spans="1:16" x14ac:dyDescent="0.35">
      <c r="A41" t="s">
        <v>75</v>
      </c>
      <c r="B41">
        <v>0</v>
      </c>
      <c r="C4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/>
      <c r="M41" s="1"/>
      <c r="N41" s="1"/>
    </row>
    <row r="42" spans="1:16" x14ac:dyDescent="0.35">
      <c r="A42" t="s">
        <v>76</v>
      </c>
      <c r="B42">
        <v>0</v>
      </c>
      <c r="C42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6" x14ac:dyDescent="0.35">
      <c r="A43" t="s">
        <v>77</v>
      </c>
      <c r="B43">
        <v>0</v>
      </c>
      <c r="C43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6" x14ac:dyDescent="0.35">
      <c r="A44" t="s">
        <v>81</v>
      </c>
      <c r="B44">
        <v>0</v>
      </c>
      <c r="C44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6" x14ac:dyDescent="0.35">
      <c r="A45" t="s">
        <v>79</v>
      </c>
      <c r="B45">
        <v>0</v>
      </c>
      <c r="C45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6" x14ac:dyDescent="0.35">
      <c r="A46" t="s">
        <v>80</v>
      </c>
      <c r="B46">
        <v>0</v>
      </c>
      <c r="C46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6" x14ac:dyDescent="0.35">
      <c r="D47" s="1"/>
      <c r="E47" s="1"/>
      <c r="F47" s="1"/>
      <c r="G47" s="1"/>
      <c r="H47" s="1"/>
      <c r="I47" s="1"/>
      <c r="J47" s="1"/>
      <c r="K47" s="1"/>
    </row>
    <row r="48" spans="1:16" x14ac:dyDescent="0.35">
      <c r="A48" t="s">
        <v>4</v>
      </c>
      <c r="B48" t="s">
        <v>73</v>
      </c>
      <c r="C48" t="s">
        <v>189</v>
      </c>
      <c r="D48" t="s">
        <v>190</v>
      </c>
      <c r="E48" t="s">
        <v>74</v>
      </c>
      <c r="F48" t="s">
        <v>75</v>
      </c>
      <c r="G48" t="s">
        <v>76</v>
      </c>
      <c r="H48" t="s">
        <v>77</v>
      </c>
      <c r="I48" t="s">
        <v>81</v>
      </c>
      <c r="J48" t="s">
        <v>79</v>
      </c>
      <c r="K48" t="s">
        <v>80</v>
      </c>
    </row>
    <row r="49" spans="1:11" x14ac:dyDescent="0.35">
      <c r="A49" t="s">
        <v>73</v>
      </c>
      <c r="B49">
        <v>0</v>
      </c>
      <c r="C49">
        <v>-30</v>
      </c>
      <c r="D49">
        <v>-60</v>
      </c>
      <c r="E49">
        <v>0</v>
      </c>
      <c r="F49">
        <v>0</v>
      </c>
      <c r="G49">
        <v>0</v>
      </c>
      <c r="H49">
        <v>0</v>
      </c>
      <c r="I49">
        <v>-30</v>
      </c>
      <c r="J49">
        <v>-30</v>
      </c>
      <c r="K49">
        <v>0</v>
      </c>
    </row>
    <row r="50" spans="1:11" x14ac:dyDescent="0.35">
      <c r="A50" t="s">
        <v>189</v>
      </c>
      <c r="B50">
        <v>-30</v>
      </c>
      <c r="C50">
        <v>0</v>
      </c>
      <c r="D50">
        <v>-100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5">
      <c r="A51" t="s">
        <v>190</v>
      </c>
      <c r="B51">
        <v>-60</v>
      </c>
      <c r="C51">
        <v>-100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-350</v>
      </c>
      <c r="J51" s="1">
        <v>-100</v>
      </c>
      <c r="K51" s="1">
        <v>0</v>
      </c>
    </row>
    <row r="52" spans="1:11" x14ac:dyDescent="0.35">
      <c r="A52" t="s">
        <v>74</v>
      </c>
      <c r="B52">
        <v>0</v>
      </c>
      <c r="C52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x14ac:dyDescent="0.35">
      <c r="A53" t="s">
        <v>75</v>
      </c>
      <c r="B53">
        <v>0</v>
      </c>
      <c r="C53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x14ac:dyDescent="0.35">
      <c r="A54" t="s">
        <v>76</v>
      </c>
      <c r="B54">
        <v>0</v>
      </c>
      <c r="C54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35">
      <c r="A55" t="s">
        <v>77</v>
      </c>
      <c r="B55">
        <v>0</v>
      </c>
      <c r="C55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35">
      <c r="A56" t="s">
        <v>81</v>
      </c>
      <c r="B56">
        <v>-30</v>
      </c>
      <c r="C56">
        <v>0</v>
      </c>
      <c r="D56" s="1">
        <v>-350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x14ac:dyDescent="0.35">
      <c r="A57" t="s">
        <v>79</v>
      </c>
      <c r="B57">
        <v>-30</v>
      </c>
      <c r="C57">
        <v>0</v>
      </c>
      <c r="D57" s="1">
        <v>-100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x14ac:dyDescent="0.35">
      <c r="A58" t="s">
        <v>80</v>
      </c>
      <c r="B58">
        <v>0</v>
      </c>
      <c r="C58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60" spans="1:11" x14ac:dyDescent="0.35">
      <c r="A60" t="s">
        <v>5</v>
      </c>
      <c r="B60" t="s">
        <v>73</v>
      </c>
      <c r="C60" t="s">
        <v>189</v>
      </c>
      <c r="D60" t="s">
        <v>190</v>
      </c>
      <c r="E60" t="s">
        <v>74</v>
      </c>
      <c r="F60" t="s">
        <v>75</v>
      </c>
      <c r="G60" t="s">
        <v>76</v>
      </c>
      <c r="H60" t="s">
        <v>77</v>
      </c>
      <c r="I60" t="s">
        <v>81</v>
      </c>
      <c r="J60" t="s">
        <v>79</v>
      </c>
      <c r="K60" t="s">
        <v>80</v>
      </c>
    </row>
    <row r="61" spans="1:11" x14ac:dyDescent="0.35">
      <c r="A61" t="s">
        <v>6</v>
      </c>
      <c r="B61" s="1">
        <v>1.2</v>
      </c>
      <c r="C61" s="1">
        <v>1</v>
      </c>
      <c r="D61" s="1">
        <v>1.9</v>
      </c>
      <c r="E61" s="1">
        <v>1.9</v>
      </c>
      <c r="F61" s="1">
        <v>1.9</v>
      </c>
      <c r="G61" s="1">
        <v>1.9</v>
      </c>
      <c r="H61" s="1">
        <v>1.2</v>
      </c>
      <c r="I61" s="1">
        <v>1</v>
      </c>
      <c r="J61" s="1">
        <v>1</v>
      </c>
      <c r="K61" s="1">
        <v>1.2</v>
      </c>
    </row>
    <row r="62" spans="1:11" x14ac:dyDescent="0.35">
      <c r="A62" t="s">
        <v>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x14ac:dyDescent="0.35">
      <c r="A63" t="s">
        <v>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98" spans="1:1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45E6-FC06-4297-9961-A04532301994}">
  <dimension ref="A1:I47"/>
  <sheetViews>
    <sheetView workbookViewId="0">
      <selection activeCell="I11" sqref="I11"/>
    </sheetView>
  </sheetViews>
  <sheetFormatPr defaultRowHeight="14.5" x14ac:dyDescent="0.35"/>
  <cols>
    <col min="1" max="1" width="12" bestFit="1" customWidth="1"/>
  </cols>
  <sheetData>
    <row r="1" spans="1:9" x14ac:dyDescent="0.35">
      <c r="A1" t="s">
        <v>151</v>
      </c>
      <c r="B1">
        <v>1</v>
      </c>
    </row>
    <row r="3" spans="1:9" x14ac:dyDescent="0.35">
      <c r="A3" t="s">
        <v>152</v>
      </c>
      <c r="B3" t="s">
        <v>9</v>
      </c>
      <c r="C3" t="s">
        <v>9</v>
      </c>
      <c r="D3" t="s">
        <v>9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</row>
    <row r="4" spans="1:9" x14ac:dyDescent="0.35">
      <c r="A4" t="s">
        <v>0</v>
      </c>
      <c r="B4" t="s">
        <v>15</v>
      </c>
      <c r="C4" t="s">
        <v>11</v>
      </c>
      <c r="D4" t="s">
        <v>10</v>
      </c>
      <c r="E4" t="s">
        <v>53</v>
      </c>
      <c r="F4" t="s">
        <v>72</v>
      </c>
      <c r="G4" t="s">
        <v>52</v>
      </c>
      <c r="H4" t="s">
        <v>54</v>
      </c>
      <c r="I4" t="s">
        <v>10</v>
      </c>
    </row>
    <row r="6" spans="1:9" x14ac:dyDescent="0.35">
      <c r="A6" s="3" t="s">
        <v>208</v>
      </c>
      <c r="B6">
        <v>0</v>
      </c>
      <c r="C6">
        <v>0</v>
      </c>
      <c r="D6">
        <v>3</v>
      </c>
      <c r="E6">
        <v>0</v>
      </c>
      <c r="F6">
        <v>0</v>
      </c>
      <c r="G6">
        <v>2</v>
      </c>
      <c r="H6">
        <v>0</v>
      </c>
      <c r="I6">
        <v>0</v>
      </c>
    </row>
    <row r="7" spans="1:9" x14ac:dyDescent="0.35">
      <c r="A7" t="s">
        <v>209</v>
      </c>
      <c r="B7">
        <v>0</v>
      </c>
      <c r="C7">
        <v>3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</row>
    <row r="8" spans="1:9" x14ac:dyDescent="0.35">
      <c r="A8" t="s">
        <v>210</v>
      </c>
      <c r="B8">
        <v>3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</row>
    <row r="9" spans="1:9" x14ac:dyDescent="0.35">
      <c r="A9" t="s">
        <v>211</v>
      </c>
      <c r="B9">
        <v>3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</row>
    <row r="10" spans="1:9" x14ac:dyDescent="0.35">
      <c r="A10" t="s">
        <v>213</v>
      </c>
      <c r="B10">
        <v>0</v>
      </c>
      <c r="C10">
        <v>0</v>
      </c>
      <c r="D10">
        <v>3</v>
      </c>
      <c r="E10">
        <v>2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212</v>
      </c>
      <c r="B11">
        <v>0</v>
      </c>
      <c r="C11">
        <v>0</v>
      </c>
      <c r="D11">
        <v>3</v>
      </c>
      <c r="E11">
        <v>0</v>
      </c>
      <c r="F11">
        <v>0</v>
      </c>
      <c r="G11">
        <v>1</v>
      </c>
      <c r="H11">
        <v>0.5</v>
      </c>
      <c r="I11">
        <v>0.5</v>
      </c>
    </row>
    <row r="13" spans="1:9" x14ac:dyDescent="0.35">
      <c r="A13" t="s">
        <v>157</v>
      </c>
      <c r="B13">
        <v>3</v>
      </c>
      <c r="C13">
        <v>3</v>
      </c>
      <c r="D13">
        <v>3</v>
      </c>
      <c r="E13">
        <v>2</v>
      </c>
      <c r="F13">
        <v>2</v>
      </c>
      <c r="G13">
        <v>2</v>
      </c>
      <c r="H13">
        <v>2</v>
      </c>
      <c r="I13">
        <v>2</v>
      </c>
    </row>
    <row r="15" spans="1:9" x14ac:dyDescent="0.35">
      <c r="A15" t="s">
        <v>153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154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35">
      <c r="A17" t="s">
        <v>155</v>
      </c>
      <c r="B17">
        <f>1/6</f>
        <v>0.16666666666666666</v>
      </c>
      <c r="C17">
        <f t="shared" ref="C17:I17" si="0">1/6</f>
        <v>0.16666666666666666</v>
      </c>
      <c r="D17">
        <f t="shared" si="0"/>
        <v>0.16666666666666666</v>
      </c>
      <c r="E17">
        <f t="shared" si="0"/>
        <v>0.16666666666666666</v>
      </c>
      <c r="F17">
        <f t="shared" si="0"/>
        <v>0.16666666666666666</v>
      </c>
      <c r="G17">
        <f t="shared" si="0"/>
        <v>0.16666666666666666</v>
      </c>
      <c r="H17">
        <f t="shared" si="0"/>
        <v>0.16666666666666666</v>
      </c>
      <c r="I17">
        <f t="shared" si="0"/>
        <v>0.16666666666666666</v>
      </c>
    </row>
    <row r="18" spans="1:9" x14ac:dyDescent="0.35">
      <c r="A18" t="s">
        <v>156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20" spans="1:9" x14ac:dyDescent="0.35">
      <c r="A20" t="s">
        <v>2</v>
      </c>
      <c r="B20" s="3" t="s">
        <v>66</v>
      </c>
      <c r="C20" t="s">
        <v>67</v>
      </c>
      <c r="D20" t="s">
        <v>68</v>
      </c>
      <c r="E20" t="s">
        <v>69</v>
      </c>
      <c r="F20" t="s">
        <v>71</v>
      </c>
      <c r="G20" t="s">
        <v>70</v>
      </c>
    </row>
    <row r="21" spans="1:9" x14ac:dyDescent="0.35">
      <c r="A21" s="3" t="s">
        <v>66</v>
      </c>
      <c r="B21">
        <v>0</v>
      </c>
      <c r="C21">
        <v>4000</v>
      </c>
      <c r="D21">
        <v>45400</v>
      </c>
      <c r="E21">
        <v>107000</v>
      </c>
      <c r="F21">
        <v>2000</v>
      </c>
      <c r="G21">
        <v>1000</v>
      </c>
    </row>
    <row r="22" spans="1:9" x14ac:dyDescent="0.35">
      <c r="A22" t="s">
        <v>67</v>
      </c>
      <c r="B22">
        <v>4000</v>
      </c>
      <c r="C22">
        <v>0</v>
      </c>
      <c r="D22">
        <v>17000</v>
      </c>
      <c r="E22">
        <v>65000</v>
      </c>
      <c r="F22">
        <v>8200</v>
      </c>
      <c r="G22">
        <v>0</v>
      </c>
    </row>
    <row r="23" spans="1:9" x14ac:dyDescent="0.35">
      <c r="A23" t="s">
        <v>68</v>
      </c>
      <c r="B23">
        <v>45400</v>
      </c>
      <c r="C23">
        <v>17000</v>
      </c>
      <c r="D23">
        <v>0</v>
      </c>
      <c r="E23">
        <v>2000</v>
      </c>
      <c r="F23">
        <v>5000</v>
      </c>
      <c r="G23">
        <v>-3000</v>
      </c>
    </row>
    <row r="24" spans="1:9" x14ac:dyDescent="0.35">
      <c r="A24" t="s">
        <v>69</v>
      </c>
      <c r="B24">
        <v>107000</v>
      </c>
      <c r="C24">
        <v>65000</v>
      </c>
      <c r="D24">
        <v>2000</v>
      </c>
      <c r="E24">
        <v>0</v>
      </c>
      <c r="F24">
        <v>63000</v>
      </c>
      <c r="G24">
        <v>-1000</v>
      </c>
    </row>
    <row r="25" spans="1:9" x14ac:dyDescent="0.35">
      <c r="A25" t="s">
        <v>71</v>
      </c>
      <c r="B25">
        <v>2000</v>
      </c>
      <c r="C25">
        <v>8200</v>
      </c>
      <c r="D25">
        <v>5000</v>
      </c>
      <c r="E25">
        <v>63000</v>
      </c>
      <c r="F25">
        <v>0</v>
      </c>
      <c r="G25">
        <v>0</v>
      </c>
    </row>
    <row r="26" spans="1:9" x14ac:dyDescent="0.35">
      <c r="A26" t="s">
        <v>70</v>
      </c>
      <c r="B26">
        <v>1000</v>
      </c>
      <c r="C26">
        <v>0</v>
      </c>
      <c r="D26">
        <v>-3000</v>
      </c>
      <c r="E26">
        <v>-1000</v>
      </c>
      <c r="F26">
        <v>0</v>
      </c>
      <c r="G26">
        <v>0</v>
      </c>
    </row>
    <row r="28" spans="1:9" x14ac:dyDescent="0.35">
      <c r="A28" t="s">
        <v>3</v>
      </c>
      <c r="B28" s="3" t="s">
        <v>66</v>
      </c>
      <c r="C28" t="s">
        <v>67</v>
      </c>
      <c r="D28" t="s">
        <v>68</v>
      </c>
      <c r="E28" t="s">
        <v>69</v>
      </c>
      <c r="F28" t="s">
        <v>71</v>
      </c>
      <c r="G28" t="s">
        <v>70</v>
      </c>
    </row>
    <row r="29" spans="1:9" x14ac:dyDescent="0.35">
      <c r="A29" s="3" t="s">
        <v>66</v>
      </c>
      <c r="B29">
        <v>0</v>
      </c>
      <c r="C29">
        <v>0</v>
      </c>
      <c r="D29">
        <v>-10</v>
      </c>
      <c r="E29">
        <v>-10</v>
      </c>
      <c r="F29">
        <v>0</v>
      </c>
      <c r="G29">
        <v>0</v>
      </c>
    </row>
    <row r="30" spans="1:9" x14ac:dyDescent="0.35">
      <c r="A30" t="s">
        <v>67</v>
      </c>
      <c r="B30">
        <v>0</v>
      </c>
      <c r="C30">
        <v>0</v>
      </c>
      <c r="D30">
        <v>-10</v>
      </c>
      <c r="E30">
        <v>-10</v>
      </c>
      <c r="F30">
        <v>0</v>
      </c>
      <c r="G30">
        <v>0</v>
      </c>
    </row>
    <row r="31" spans="1:9" x14ac:dyDescent="0.35">
      <c r="A31" t="s">
        <v>68</v>
      </c>
      <c r="B31">
        <v>-10</v>
      </c>
      <c r="C31">
        <v>-10</v>
      </c>
      <c r="D31">
        <v>0</v>
      </c>
      <c r="E31">
        <v>0</v>
      </c>
      <c r="F31">
        <v>-10</v>
      </c>
      <c r="G31">
        <v>0</v>
      </c>
    </row>
    <row r="32" spans="1:9" x14ac:dyDescent="0.35">
      <c r="A32" t="s">
        <v>69</v>
      </c>
      <c r="B32">
        <v>-10</v>
      </c>
      <c r="C32">
        <v>-10</v>
      </c>
      <c r="D32">
        <v>0</v>
      </c>
      <c r="E32">
        <v>0</v>
      </c>
      <c r="F32">
        <v>-10</v>
      </c>
      <c r="G32">
        <v>0</v>
      </c>
    </row>
    <row r="33" spans="1:7" x14ac:dyDescent="0.35">
      <c r="A33" t="s">
        <v>71</v>
      </c>
      <c r="B33">
        <v>0</v>
      </c>
      <c r="C33">
        <v>0</v>
      </c>
      <c r="D33">
        <v>-10</v>
      </c>
      <c r="E33">
        <v>-10</v>
      </c>
      <c r="F33">
        <v>0</v>
      </c>
      <c r="G33">
        <v>0</v>
      </c>
    </row>
    <row r="34" spans="1:7" x14ac:dyDescent="0.35">
      <c r="A34" t="s">
        <v>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35">
      <c r="A36" t="s">
        <v>4</v>
      </c>
      <c r="B36" s="3" t="s">
        <v>66</v>
      </c>
      <c r="C36" t="s">
        <v>67</v>
      </c>
      <c r="D36" t="s">
        <v>68</v>
      </c>
      <c r="E36" t="s">
        <v>69</v>
      </c>
      <c r="F36" t="s">
        <v>71</v>
      </c>
      <c r="G36" t="s">
        <v>70</v>
      </c>
    </row>
    <row r="37" spans="1:7" x14ac:dyDescent="0.35">
      <c r="A37" s="3" t="s">
        <v>66</v>
      </c>
      <c r="B37">
        <v>0</v>
      </c>
      <c r="C37">
        <v>100</v>
      </c>
      <c r="D37">
        <v>40</v>
      </c>
      <c r="E37">
        <v>-36</v>
      </c>
      <c r="F37">
        <v>0</v>
      </c>
      <c r="G37">
        <v>0</v>
      </c>
    </row>
    <row r="38" spans="1:7" x14ac:dyDescent="0.35">
      <c r="A38" t="s">
        <v>67</v>
      </c>
      <c r="B38">
        <v>100</v>
      </c>
      <c r="C38">
        <v>0</v>
      </c>
      <c r="D38">
        <v>100</v>
      </c>
      <c r="E38">
        <v>39</v>
      </c>
      <c r="F38">
        <v>10</v>
      </c>
      <c r="G38">
        <v>0</v>
      </c>
    </row>
    <row r="39" spans="1:7" x14ac:dyDescent="0.35">
      <c r="A39" t="s">
        <v>68</v>
      </c>
      <c r="B39">
        <v>40</v>
      </c>
      <c r="C39">
        <v>100</v>
      </c>
      <c r="D39">
        <v>0</v>
      </c>
      <c r="E39">
        <v>0</v>
      </c>
      <c r="F39">
        <v>180</v>
      </c>
      <c r="G39">
        <v>0</v>
      </c>
    </row>
    <row r="40" spans="1:7" x14ac:dyDescent="0.35">
      <c r="A40" t="s">
        <v>69</v>
      </c>
      <c r="B40">
        <v>-36</v>
      </c>
      <c r="C40">
        <v>39</v>
      </c>
      <c r="D40">
        <v>0</v>
      </c>
      <c r="E40">
        <v>0</v>
      </c>
      <c r="F40">
        <v>100</v>
      </c>
      <c r="G40">
        <v>0</v>
      </c>
    </row>
    <row r="41" spans="1:7" x14ac:dyDescent="0.35">
      <c r="A41" t="s">
        <v>71</v>
      </c>
      <c r="B41">
        <v>0</v>
      </c>
      <c r="C41">
        <v>10</v>
      </c>
      <c r="D41">
        <v>180</v>
      </c>
      <c r="E41">
        <v>100</v>
      </c>
      <c r="F41">
        <v>0</v>
      </c>
      <c r="G41">
        <v>0</v>
      </c>
    </row>
    <row r="42" spans="1:7" x14ac:dyDescent="0.35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35">
      <c r="A44" t="s">
        <v>5</v>
      </c>
      <c r="B44" s="3" t="s">
        <v>66</v>
      </c>
      <c r="C44" t="s">
        <v>67</v>
      </c>
      <c r="D44" t="s">
        <v>68</v>
      </c>
      <c r="E44" t="s">
        <v>69</v>
      </c>
      <c r="F44" t="s">
        <v>71</v>
      </c>
      <c r="G44" t="s">
        <v>70</v>
      </c>
    </row>
    <row r="45" spans="1:7" x14ac:dyDescent="0.35">
      <c r="A45" t="s">
        <v>6</v>
      </c>
      <c r="B45">
        <v>1</v>
      </c>
      <c r="C45">
        <v>1</v>
      </c>
      <c r="D45">
        <v>2.5</v>
      </c>
      <c r="E45">
        <v>2.5</v>
      </c>
      <c r="F45">
        <v>1</v>
      </c>
      <c r="G45">
        <v>1</v>
      </c>
    </row>
    <row r="46" spans="1:7" x14ac:dyDescent="0.35">
      <c r="A46" t="s">
        <v>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35">
      <c r="A47" t="s">
        <v>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BBFA-0045-4035-B334-91ED979C5005}">
  <dimension ref="A1:K55"/>
  <sheetViews>
    <sheetView workbookViewId="0">
      <selection activeCell="G18" sqref="G18"/>
    </sheetView>
  </sheetViews>
  <sheetFormatPr defaultRowHeight="14.5" x14ac:dyDescent="0.35"/>
  <cols>
    <col min="2" max="5" width="9" bestFit="1" customWidth="1"/>
    <col min="6" max="7" width="8.81640625" bestFit="1" customWidth="1"/>
    <col min="8" max="8" width="9" bestFit="1" customWidth="1"/>
    <col min="9" max="9" width="8.81640625" bestFit="1" customWidth="1"/>
  </cols>
  <sheetData>
    <row r="1" spans="1:11" x14ac:dyDescent="0.35">
      <c r="A1" t="s">
        <v>151</v>
      </c>
      <c r="B1">
        <v>1</v>
      </c>
    </row>
    <row r="3" spans="1:11" x14ac:dyDescent="0.35">
      <c r="A3" t="s">
        <v>152</v>
      </c>
      <c r="B3" t="s">
        <v>48</v>
      </c>
      <c r="C3" t="s">
        <v>48</v>
      </c>
      <c r="D3" t="s">
        <v>48</v>
      </c>
      <c r="E3" t="s">
        <v>48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</row>
    <row r="4" spans="1:11" x14ac:dyDescent="0.35">
      <c r="A4" t="s">
        <v>0</v>
      </c>
      <c r="B4" t="s">
        <v>10</v>
      </c>
      <c r="C4" t="s">
        <v>11</v>
      </c>
      <c r="D4" t="s">
        <v>52</v>
      </c>
      <c r="E4" t="s">
        <v>11</v>
      </c>
      <c r="F4" t="s">
        <v>10</v>
      </c>
      <c r="G4" t="s">
        <v>11</v>
      </c>
      <c r="H4" t="s">
        <v>52</v>
      </c>
      <c r="I4" t="s">
        <v>11</v>
      </c>
      <c r="J4" t="s">
        <v>53</v>
      </c>
      <c r="K4" t="s">
        <v>54</v>
      </c>
    </row>
    <row r="6" spans="1:11" x14ac:dyDescent="0.35">
      <c r="A6" t="s">
        <v>214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</row>
    <row r="7" spans="1:11" x14ac:dyDescent="0.35">
      <c r="A7" t="s">
        <v>215</v>
      </c>
      <c r="B7" s="4">
        <v>0</v>
      </c>
      <c r="C7" s="4">
        <v>0</v>
      </c>
      <c r="D7">
        <v>1</v>
      </c>
      <c r="E7" s="4">
        <v>0</v>
      </c>
      <c r="F7" s="4">
        <v>1</v>
      </c>
      <c r="G7" s="4">
        <v>0</v>
      </c>
      <c r="H7" s="4">
        <v>1</v>
      </c>
      <c r="I7" s="4">
        <v>0</v>
      </c>
      <c r="J7" s="4">
        <v>0</v>
      </c>
      <c r="K7" s="4">
        <v>0</v>
      </c>
    </row>
    <row r="8" spans="1:11" x14ac:dyDescent="0.35">
      <c r="A8" t="s">
        <v>216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</row>
    <row r="9" spans="1:11" x14ac:dyDescent="0.35">
      <c r="A9" t="s">
        <v>217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</row>
    <row r="10" spans="1:11" x14ac:dyDescent="0.35">
      <c r="A10" t="s">
        <v>218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0</v>
      </c>
    </row>
    <row r="11" spans="1:11" x14ac:dyDescent="0.35">
      <c r="A11" t="s">
        <v>219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</row>
    <row r="12" spans="1:11" x14ac:dyDescent="0.35">
      <c r="A12" t="s">
        <v>220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</row>
    <row r="13" spans="1:11" x14ac:dyDescent="0.35">
      <c r="A13" t="s">
        <v>221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</row>
    <row r="15" spans="1:11" x14ac:dyDescent="0.35">
      <c r="A15" t="s">
        <v>157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7" spans="1:11" x14ac:dyDescent="0.35">
      <c r="A17" t="s">
        <v>153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154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35">
      <c r="A19" t="s">
        <v>155</v>
      </c>
      <c r="B19">
        <f>1/6</f>
        <v>0.16666666666666666</v>
      </c>
      <c r="C19">
        <f t="shared" ref="C19:K19" si="0">1/6</f>
        <v>0.16666666666666666</v>
      </c>
      <c r="D19">
        <f t="shared" si="0"/>
        <v>0.16666666666666666</v>
      </c>
      <c r="E19">
        <f t="shared" si="0"/>
        <v>0.16666666666666666</v>
      </c>
      <c r="F19">
        <f t="shared" si="0"/>
        <v>0.16666666666666666</v>
      </c>
      <c r="G19">
        <f t="shared" si="0"/>
        <v>0.16666666666666666</v>
      </c>
      <c r="H19">
        <f t="shared" si="0"/>
        <v>0.16666666666666666</v>
      </c>
      <c r="I19">
        <f t="shared" si="0"/>
        <v>0.16666666666666666</v>
      </c>
      <c r="J19">
        <f t="shared" si="0"/>
        <v>0.16666666666666666</v>
      </c>
      <c r="K19">
        <f t="shared" si="0"/>
        <v>0.16666666666666666</v>
      </c>
    </row>
    <row r="20" spans="1:11" x14ac:dyDescent="0.35">
      <c r="A20" t="s">
        <v>156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2" spans="1:11" x14ac:dyDescent="0.35">
      <c r="A22" t="s">
        <v>2</v>
      </c>
      <c r="B22" t="s">
        <v>90</v>
      </c>
      <c r="C22" t="s">
        <v>91</v>
      </c>
      <c r="D22" t="s">
        <v>92</v>
      </c>
      <c r="E22" t="s">
        <v>93</v>
      </c>
      <c r="F22" t="s">
        <v>94</v>
      </c>
      <c r="G22" t="s">
        <v>95</v>
      </c>
      <c r="H22" t="s">
        <v>223</v>
      </c>
      <c r="I22" t="s">
        <v>222</v>
      </c>
    </row>
    <row r="23" spans="1:11" x14ac:dyDescent="0.35">
      <c r="A23" t="s">
        <v>90</v>
      </c>
      <c r="B23">
        <v>0</v>
      </c>
      <c r="C23">
        <v>-6700</v>
      </c>
      <c r="D23">
        <v>3600</v>
      </c>
      <c r="E23">
        <v>-9800</v>
      </c>
      <c r="F23">
        <v>43200</v>
      </c>
      <c r="G23">
        <v>49500</v>
      </c>
      <c r="H23">
        <v>-38400</v>
      </c>
      <c r="I23">
        <v>40000</v>
      </c>
    </row>
    <row r="24" spans="1:11" x14ac:dyDescent="0.35">
      <c r="A24" t="s">
        <v>91</v>
      </c>
      <c r="B24">
        <v>-6700</v>
      </c>
      <c r="C24">
        <v>0</v>
      </c>
      <c r="D24">
        <v>2700</v>
      </c>
      <c r="E24">
        <v>-3500</v>
      </c>
      <c r="F24">
        <v>36800</v>
      </c>
      <c r="G24">
        <v>20700</v>
      </c>
      <c r="H24">
        <v>-21600</v>
      </c>
      <c r="I24">
        <v>38200</v>
      </c>
    </row>
    <row r="25" spans="1:11" x14ac:dyDescent="0.35">
      <c r="A25" t="s">
        <v>92</v>
      </c>
      <c r="B25">
        <v>3600</v>
      </c>
      <c r="C25">
        <v>2700</v>
      </c>
      <c r="D25">
        <v>0</v>
      </c>
      <c r="E25">
        <v>-6000</v>
      </c>
      <c r="F25">
        <v>17500</v>
      </c>
      <c r="G25">
        <v>51600</v>
      </c>
      <c r="H25">
        <v>-53800</v>
      </c>
      <c r="I25">
        <v>25700</v>
      </c>
    </row>
    <row r="26" spans="1:11" x14ac:dyDescent="0.35">
      <c r="A26" t="s">
        <v>93</v>
      </c>
      <c r="B26">
        <v>-9800</v>
      </c>
      <c r="C26">
        <v>-3500</v>
      </c>
      <c r="D26">
        <v>-6000</v>
      </c>
      <c r="E26">
        <v>0</v>
      </c>
      <c r="F26">
        <v>-4100</v>
      </c>
      <c r="G26">
        <v>10000</v>
      </c>
      <c r="H26">
        <v>-38800</v>
      </c>
      <c r="I26">
        <v>21000</v>
      </c>
    </row>
    <row r="27" spans="1:11" x14ac:dyDescent="0.35">
      <c r="A27" t="s">
        <v>94</v>
      </c>
      <c r="B27">
        <v>43200</v>
      </c>
      <c r="C27">
        <v>36800</v>
      </c>
      <c r="D27">
        <v>17500</v>
      </c>
      <c r="E27">
        <v>-4100</v>
      </c>
      <c r="F27">
        <v>0</v>
      </c>
      <c r="G27">
        <v>18100</v>
      </c>
      <c r="H27">
        <v>12100</v>
      </c>
      <c r="I27">
        <v>5200</v>
      </c>
    </row>
    <row r="28" spans="1:11" x14ac:dyDescent="0.35">
      <c r="A28" t="s">
        <v>95</v>
      </c>
      <c r="B28">
        <v>49500</v>
      </c>
      <c r="C28">
        <v>20700</v>
      </c>
      <c r="D28">
        <v>51600</v>
      </c>
      <c r="E28">
        <v>10000</v>
      </c>
      <c r="F28">
        <v>18100</v>
      </c>
      <c r="G28">
        <v>0</v>
      </c>
      <c r="H28">
        <v>-8700</v>
      </c>
      <c r="I28">
        <v>21500</v>
      </c>
    </row>
    <row r="29" spans="1:11" x14ac:dyDescent="0.35">
      <c r="A29" t="s">
        <v>223</v>
      </c>
      <c r="B29">
        <v>-38400</v>
      </c>
      <c r="C29">
        <v>-21600</v>
      </c>
      <c r="D29">
        <v>-53800</v>
      </c>
      <c r="E29">
        <v>-38800</v>
      </c>
      <c r="F29">
        <v>12100</v>
      </c>
      <c r="G29">
        <v>-8700</v>
      </c>
      <c r="H29">
        <v>0</v>
      </c>
      <c r="I29">
        <v>15000</v>
      </c>
    </row>
    <row r="30" spans="1:11" x14ac:dyDescent="0.35">
      <c r="A30" t="s">
        <v>222</v>
      </c>
      <c r="B30">
        <v>40000</v>
      </c>
      <c r="C30">
        <v>38200</v>
      </c>
      <c r="D30">
        <v>25700</v>
      </c>
      <c r="E30">
        <v>21000</v>
      </c>
      <c r="F30">
        <v>5200</v>
      </c>
      <c r="G30">
        <v>21500</v>
      </c>
      <c r="H30">
        <v>15000</v>
      </c>
      <c r="I30">
        <v>0</v>
      </c>
    </row>
    <row r="32" spans="1:11" x14ac:dyDescent="0.35">
      <c r="A32" t="s">
        <v>3</v>
      </c>
      <c r="B32" t="s">
        <v>90</v>
      </c>
      <c r="C32" t="s">
        <v>91</v>
      </c>
      <c r="D32" t="s">
        <v>92</v>
      </c>
      <c r="E32" t="s">
        <v>93</v>
      </c>
      <c r="F32" t="s">
        <v>94</v>
      </c>
      <c r="G32" t="s">
        <v>95</v>
      </c>
      <c r="H32" t="s">
        <v>96</v>
      </c>
      <c r="I32" t="s">
        <v>97</v>
      </c>
    </row>
    <row r="33" spans="1:9" x14ac:dyDescent="0.35">
      <c r="A33" t="s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5">
      <c r="A34" t="s">
        <v>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5">
      <c r="A35" t="s">
        <v>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5">
      <c r="A36" t="s">
        <v>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5">
      <c r="A37" t="s">
        <v>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5">
      <c r="A38" t="s">
        <v>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5">
      <c r="A39" t="s">
        <v>223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5">
      <c r="A40" t="s">
        <v>222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2" spans="1:9" x14ac:dyDescent="0.35">
      <c r="A42" t="s">
        <v>4</v>
      </c>
      <c r="B42" t="s">
        <v>90</v>
      </c>
      <c r="C42" t="s">
        <v>91</v>
      </c>
      <c r="D42" t="s">
        <v>92</v>
      </c>
      <c r="E42" t="s">
        <v>93</v>
      </c>
      <c r="F42" t="s">
        <v>94</v>
      </c>
      <c r="G42" t="s">
        <v>95</v>
      </c>
      <c r="H42" t="s">
        <v>223</v>
      </c>
      <c r="I42" t="s">
        <v>222</v>
      </c>
    </row>
    <row r="43" spans="1:9" x14ac:dyDescent="0.35">
      <c r="A43" t="s">
        <v>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-80</v>
      </c>
      <c r="I43">
        <v>0</v>
      </c>
    </row>
    <row r="44" spans="1:9" x14ac:dyDescent="0.35">
      <c r="A44" t="s">
        <v>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-80</v>
      </c>
      <c r="I44">
        <v>0</v>
      </c>
    </row>
    <row r="45" spans="1:9" x14ac:dyDescent="0.35">
      <c r="A45" t="s">
        <v>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5">
      <c r="A46" t="s">
        <v>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5">
      <c r="A47" t="s">
        <v>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5">
      <c r="A48" t="s">
        <v>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5">
      <c r="A49" t="s">
        <v>223</v>
      </c>
      <c r="B49">
        <v>-80</v>
      </c>
      <c r="C49">
        <v>-80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5">
      <c r="A50" t="s">
        <v>222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2" spans="1:9" x14ac:dyDescent="0.35">
      <c r="A52" t="s">
        <v>5</v>
      </c>
      <c r="B52" t="s">
        <v>90</v>
      </c>
      <c r="C52" t="s">
        <v>91</v>
      </c>
      <c r="D52" t="s">
        <v>92</v>
      </c>
      <c r="E52" t="s">
        <v>93</v>
      </c>
      <c r="F52" t="s">
        <v>94</v>
      </c>
      <c r="G52" t="s">
        <v>95</v>
      </c>
      <c r="H52" t="s">
        <v>223</v>
      </c>
      <c r="I52" t="s">
        <v>222</v>
      </c>
    </row>
    <row r="53" spans="1:9" x14ac:dyDescent="0.35">
      <c r="A53" t="s">
        <v>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0.9</v>
      </c>
    </row>
    <row r="54" spans="1:9" x14ac:dyDescent="0.35">
      <c r="A54" t="s">
        <v>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74A3-4D79-4402-83D3-64F73A88053B}">
  <dimension ref="A1:L26"/>
  <sheetViews>
    <sheetView workbookViewId="0">
      <selection activeCell="E19" sqref="E19"/>
    </sheetView>
  </sheetViews>
  <sheetFormatPr defaultRowHeight="14.5" x14ac:dyDescent="0.35"/>
  <cols>
    <col min="1" max="1" width="13.1796875" bestFit="1" customWidth="1"/>
  </cols>
  <sheetData>
    <row r="1" spans="1:12" x14ac:dyDescent="0.35">
      <c r="A1" t="s">
        <v>151</v>
      </c>
      <c r="B1">
        <v>1</v>
      </c>
    </row>
    <row r="3" spans="1:12" x14ac:dyDescent="0.35">
      <c r="A3" t="s">
        <v>152</v>
      </c>
      <c r="B3" t="s">
        <v>82</v>
      </c>
      <c r="C3" t="s">
        <v>82</v>
      </c>
      <c r="D3" t="s">
        <v>82</v>
      </c>
      <c r="E3" t="s">
        <v>82</v>
      </c>
      <c r="F3" t="s">
        <v>82</v>
      </c>
      <c r="G3" t="s">
        <v>133</v>
      </c>
      <c r="H3" t="s">
        <v>133</v>
      </c>
      <c r="I3" t="s">
        <v>48</v>
      </c>
      <c r="J3" t="s">
        <v>48</v>
      </c>
      <c r="K3" t="s">
        <v>50</v>
      </c>
      <c r="L3" t="s">
        <v>50</v>
      </c>
    </row>
    <row r="4" spans="1:12" x14ac:dyDescent="0.35">
      <c r="A4" t="s">
        <v>0</v>
      </c>
      <c r="B4" t="s">
        <v>10</v>
      </c>
      <c r="C4" t="s">
        <v>11</v>
      </c>
      <c r="D4" t="s">
        <v>72</v>
      </c>
      <c r="E4" t="s">
        <v>54</v>
      </c>
      <c r="F4" t="s">
        <v>52</v>
      </c>
      <c r="G4" t="s">
        <v>10</v>
      </c>
      <c r="H4" t="s">
        <v>11</v>
      </c>
      <c r="I4" t="s">
        <v>56</v>
      </c>
      <c r="J4" t="s">
        <v>52</v>
      </c>
      <c r="K4" t="s">
        <v>134</v>
      </c>
      <c r="L4" t="s">
        <v>112</v>
      </c>
    </row>
    <row r="6" spans="1:12" x14ac:dyDescent="0.35">
      <c r="A6" t="s">
        <v>235</v>
      </c>
      <c r="B6">
        <v>1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1</v>
      </c>
      <c r="J6">
        <v>1</v>
      </c>
      <c r="K6">
        <v>2</v>
      </c>
      <c r="L6">
        <v>0</v>
      </c>
    </row>
    <row r="7" spans="1:12" x14ac:dyDescent="0.35">
      <c r="A7" t="s">
        <v>236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2</v>
      </c>
      <c r="I7">
        <v>1</v>
      </c>
      <c r="J7">
        <v>1</v>
      </c>
      <c r="K7">
        <v>2</v>
      </c>
      <c r="L7">
        <v>0</v>
      </c>
    </row>
    <row r="8" spans="1:12" x14ac:dyDescent="0.35">
      <c r="A8" t="s">
        <v>240</v>
      </c>
      <c r="B8">
        <v>0</v>
      </c>
      <c r="C8">
        <v>1</v>
      </c>
      <c r="D8">
        <v>0</v>
      </c>
      <c r="E8">
        <v>0</v>
      </c>
      <c r="F8">
        <v>0</v>
      </c>
      <c r="G8">
        <v>2</v>
      </c>
      <c r="H8">
        <v>0</v>
      </c>
      <c r="I8">
        <v>1</v>
      </c>
      <c r="J8">
        <v>1</v>
      </c>
      <c r="K8">
        <v>2</v>
      </c>
      <c r="L8">
        <v>0</v>
      </c>
    </row>
    <row r="9" spans="1:12" x14ac:dyDescent="0.35">
      <c r="A9" t="s">
        <v>237</v>
      </c>
      <c r="B9">
        <v>0</v>
      </c>
      <c r="C9">
        <v>0</v>
      </c>
      <c r="D9">
        <v>0</v>
      </c>
      <c r="E9">
        <v>0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</row>
    <row r="10" spans="1:12" x14ac:dyDescent="0.35">
      <c r="A10" t="s">
        <v>238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1</v>
      </c>
      <c r="J10">
        <v>1</v>
      </c>
      <c r="K10">
        <v>0</v>
      </c>
      <c r="L10">
        <v>2</v>
      </c>
    </row>
    <row r="11" spans="1:12" x14ac:dyDescent="0.35">
      <c r="A11" t="s">
        <v>239</v>
      </c>
      <c r="B11">
        <v>0</v>
      </c>
      <c r="C11">
        <v>0</v>
      </c>
      <c r="D11">
        <v>1</v>
      </c>
      <c r="E11">
        <v>0</v>
      </c>
      <c r="F11">
        <v>0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</row>
    <row r="13" spans="1:12" x14ac:dyDescent="0.35">
      <c r="A13" t="s">
        <v>157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</row>
    <row r="15" spans="1:12" x14ac:dyDescent="0.35">
      <c r="A15" t="s">
        <v>153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t="s">
        <v>154</v>
      </c>
      <c r="B16">
        <v>1</v>
      </c>
      <c r="C16">
        <v>1</v>
      </c>
      <c r="D16">
        <v>1</v>
      </c>
      <c r="E16">
        <v>0.5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35">
      <c r="A17" t="s">
        <v>155</v>
      </c>
      <c r="B17">
        <f>1/6</f>
        <v>0.16666666666666666</v>
      </c>
      <c r="C17">
        <f t="shared" ref="C17:L17" si="0">1/6</f>
        <v>0.16666666666666666</v>
      </c>
      <c r="D17">
        <f t="shared" si="0"/>
        <v>0.16666666666666666</v>
      </c>
      <c r="E17">
        <f t="shared" si="0"/>
        <v>0.16666666666666666</v>
      </c>
      <c r="F17">
        <f t="shared" si="0"/>
        <v>0.16666666666666666</v>
      </c>
      <c r="G17">
        <f t="shared" si="0"/>
        <v>0.16666666666666666</v>
      </c>
      <c r="H17">
        <f t="shared" si="0"/>
        <v>0.16666666666666666</v>
      </c>
      <c r="I17">
        <f t="shared" si="0"/>
        <v>0.16666666666666666</v>
      </c>
      <c r="J17">
        <f t="shared" si="0"/>
        <v>0.16666666666666666</v>
      </c>
      <c r="K17">
        <f t="shared" si="0"/>
        <v>0.16666666666666666</v>
      </c>
      <c r="L17">
        <f t="shared" si="0"/>
        <v>0.16666666666666666</v>
      </c>
    </row>
    <row r="18" spans="1:12" x14ac:dyDescent="0.35">
      <c r="A18" t="s">
        <v>156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20" spans="1:12" x14ac:dyDescent="0.35">
      <c r="A20" t="s">
        <v>2</v>
      </c>
      <c r="B20" t="s">
        <v>128</v>
      </c>
      <c r="C20" t="s">
        <v>135</v>
      </c>
      <c r="D20" t="s">
        <v>129</v>
      </c>
      <c r="E20" t="s">
        <v>130</v>
      </c>
      <c r="F20" t="s">
        <v>131</v>
      </c>
      <c r="G20" t="s">
        <v>132</v>
      </c>
    </row>
    <row r="21" spans="1:12" x14ac:dyDescent="0.35">
      <c r="A21" t="s">
        <v>128</v>
      </c>
      <c r="B21">
        <v>0</v>
      </c>
      <c r="C21">
        <v>12000</v>
      </c>
      <c r="D21">
        <v>4000</v>
      </c>
      <c r="E21">
        <v>10000</v>
      </c>
      <c r="F21">
        <v>30000</v>
      </c>
      <c r="G21">
        <v>14000</v>
      </c>
    </row>
    <row r="22" spans="1:12" x14ac:dyDescent="0.35">
      <c r="A22" t="s">
        <v>135</v>
      </c>
      <c r="B22">
        <v>12000</v>
      </c>
      <c r="C22">
        <v>0</v>
      </c>
      <c r="D22">
        <v>8000</v>
      </c>
      <c r="E22">
        <v>0</v>
      </c>
      <c r="F22">
        <v>32000</v>
      </c>
      <c r="G22">
        <v>4000</v>
      </c>
    </row>
    <row r="23" spans="1:12" x14ac:dyDescent="0.35">
      <c r="A23" t="s">
        <v>129</v>
      </c>
      <c r="B23">
        <v>4000</v>
      </c>
      <c r="C23">
        <v>8000</v>
      </c>
      <c r="D23">
        <v>0</v>
      </c>
      <c r="E23">
        <v>7000</v>
      </c>
      <c r="F23">
        <v>24000</v>
      </c>
      <c r="G23">
        <v>7000</v>
      </c>
    </row>
    <row r="24" spans="1:12" x14ac:dyDescent="0.35">
      <c r="A24" t="s">
        <v>130</v>
      </c>
      <c r="B24">
        <v>10000</v>
      </c>
      <c r="C24">
        <v>0</v>
      </c>
      <c r="D24">
        <v>7000</v>
      </c>
      <c r="E24">
        <v>0</v>
      </c>
      <c r="F24">
        <v>40000</v>
      </c>
      <c r="G24">
        <v>1000</v>
      </c>
    </row>
    <row r="25" spans="1:12" x14ac:dyDescent="0.35">
      <c r="A25" t="s">
        <v>131</v>
      </c>
      <c r="B25">
        <v>30000</v>
      </c>
      <c r="C25">
        <v>32000</v>
      </c>
      <c r="D25">
        <v>24000</v>
      </c>
      <c r="E25">
        <v>40000</v>
      </c>
      <c r="F25">
        <v>0</v>
      </c>
      <c r="G25">
        <v>40000</v>
      </c>
    </row>
    <row r="26" spans="1:12" x14ac:dyDescent="0.35">
      <c r="A26" t="s">
        <v>132</v>
      </c>
      <c r="B26">
        <v>14000</v>
      </c>
      <c r="C26">
        <v>4000</v>
      </c>
      <c r="D26">
        <v>7000</v>
      </c>
      <c r="E26">
        <v>1000</v>
      </c>
      <c r="F26">
        <v>40000</v>
      </c>
      <c r="G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D773-C514-4A73-9630-F36BE0FD5E2C}">
  <dimension ref="A1:K47"/>
  <sheetViews>
    <sheetView workbookViewId="0">
      <selection activeCell="D47" sqref="D47"/>
    </sheetView>
  </sheetViews>
  <sheetFormatPr defaultRowHeight="14.5" x14ac:dyDescent="0.35"/>
  <sheetData>
    <row r="1" spans="1:11" x14ac:dyDescent="0.35">
      <c r="A1" t="s">
        <v>151</v>
      </c>
      <c r="B1">
        <v>1</v>
      </c>
    </row>
    <row r="3" spans="1:11" x14ac:dyDescent="0.35">
      <c r="A3" t="s">
        <v>152</v>
      </c>
      <c r="B3" t="s">
        <v>83</v>
      </c>
      <c r="C3" t="s">
        <v>83</v>
      </c>
      <c r="D3" t="s">
        <v>83</v>
      </c>
      <c r="E3" t="s">
        <v>142</v>
      </c>
      <c r="F3" t="s">
        <v>142</v>
      </c>
      <c r="G3" t="s">
        <v>142</v>
      </c>
      <c r="H3" t="s">
        <v>143</v>
      </c>
      <c r="I3" t="s">
        <v>143</v>
      </c>
      <c r="J3" t="s">
        <v>78</v>
      </c>
      <c r="K3" t="s">
        <v>78</v>
      </c>
    </row>
    <row r="4" spans="1:11" x14ac:dyDescent="0.35">
      <c r="A4" t="s">
        <v>0</v>
      </c>
      <c r="B4" t="s">
        <v>84</v>
      </c>
      <c r="C4" t="s">
        <v>55</v>
      </c>
      <c r="D4" t="s">
        <v>15</v>
      </c>
      <c r="E4" t="s">
        <v>10</v>
      </c>
      <c r="F4" t="s">
        <v>11</v>
      </c>
      <c r="G4" t="s">
        <v>52</v>
      </c>
      <c r="H4" t="s">
        <v>52</v>
      </c>
      <c r="I4" t="s">
        <v>72</v>
      </c>
      <c r="J4" t="s">
        <v>56</v>
      </c>
      <c r="K4" t="s">
        <v>52</v>
      </c>
    </row>
    <row r="6" spans="1:11" x14ac:dyDescent="0.35">
      <c r="A6" t="s">
        <v>241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35">
      <c r="A7" t="s">
        <v>242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35">
      <c r="A8" t="s">
        <v>243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35">
      <c r="A9" t="s">
        <v>244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35">
      <c r="A10" t="s">
        <v>245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35">
      <c r="A11" t="s">
        <v>246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35">
      <c r="A13" t="s">
        <v>157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35">
      <c r="A15" t="s">
        <v>153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154</v>
      </c>
      <c r="B16">
        <v>1</v>
      </c>
      <c r="C16">
        <v>1</v>
      </c>
      <c r="D16">
        <v>0.2</v>
      </c>
      <c r="E16">
        <v>0.2</v>
      </c>
      <c r="F16">
        <v>0.2</v>
      </c>
      <c r="G16">
        <v>1</v>
      </c>
      <c r="H16">
        <v>1</v>
      </c>
      <c r="I16">
        <v>0.2</v>
      </c>
      <c r="J16">
        <v>1</v>
      </c>
      <c r="K16">
        <v>1</v>
      </c>
    </row>
    <row r="17" spans="1:11" x14ac:dyDescent="0.35">
      <c r="A17" t="s">
        <v>155</v>
      </c>
      <c r="B17">
        <v>6.7000000000000004E-2</v>
      </c>
      <c r="C17">
        <v>6.7000000000000004E-2</v>
      </c>
      <c r="D17">
        <v>6.7000000000000004E-2</v>
      </c>
      <c r="E17">
        <v>6.7000000000000004E-2</v>
      </c>
      <c r="F17">
        <v>6.7000000000000004E-2</v>
      </c>
      <c r="G17">
        <v>6.7000000000000004E-2</v>
      </c>
      <c r="H17">
        <v>6.7000000000000004E-2</v>
      </c>
      <c r="I17">
        <v>6.7000000000000004E-2</v>
      </c>
      <c r="J17">
        <v>6.7000000000000004E-2</v>
      </c>
      <c r="K17">
        <v>6.7000000000000004E-2</v>
      </c>
    </row>
    <row r="18" spans="1:11" x14ac:dyDescent="0.35">
      <c r="A18" t="s">
        <v>156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35">
      <c r="A20" t="s">
        <v>2</v>
      </c>
      <c r="B20" t="s">
        <v>136</v>
      </c>
      <c r="C20" t="s">
        <v>137</v>
      </c>
      <c r="D20" t="s">
        <v>138</v>
      </c>
      <c r="E20" t="s">
        <v>139</v>
      </c>
      <c r="F20" t="s">
        <v>140</v>
      </c>
      <c r="G20" t="s">
        <v>141</v>
      </c>
    </row>
    <row r="21" spans="1:11" x14ac:dyDescent="0.35">
      <c r="A21" t="s">
        <v>136</v>
      </c>
      <c r="B21">
        <v>0</v>
      </c>
      <c r="C21">
        <v>0</v>
      </c>
      <c r="D21">
        <v>0</v>
      </c>
      <c r="E21" s="2">
        <v>10120</v>
      </c>
      <c r="F21" s="2">
        <v>35000</v>
      </c>
      <c r="G21">
        <v>0</v>
      </c>
    </row>
    <row r="22" spans="1:11" x14ac:dyDescent="0.35">
      <c r="A22" t="s">
        <v>137</v>
      </c>
      <c r="B22">
        <v>0</v>
      </c>
      <c r="C22">
        <v>0</v>
      </c>
      <c r="D22">
        <v>0</v>
      </c>
      <c r="E22" s="2">
        <v>45000</v>
      </c>
      <c r="F22" s="2">
        <v>50000</v>
      </c>
      <c r="G22">
        <v>0</v>
      </c>
    </row>
    <row r="23" spans="1:11" x14ac:dyDescent="0.35">
      <c r="A23" t="s">
        <v>138</v>
      </c>
      <c r="B23">
        <v>0</v>
      </c>
      <c r="C23">
        <v>0</v>
      </c>
      <c r="D23">
        <v>0</v>
      </c>
      <c r="E23" s="2">
        <v>45000</v>
      </c>
      <c r="F23" s="2">
        <v>50000</v>
      </c>
      <c r="G23">
        <v>0</v>
      </c>
    </row>
    <row r="24" spans="1:11" x14ac:dyDescent="0.35">
      <c r="A24" t="s">
        <v>139</v>
      </c>
      <c r="B24" s="2">
        <v>10120</v>
      </c>
      <c r="C24" s="2">
        <v>45000</v>
      </c>
      <c r="D24" s="2">
        <v>45000</v>
      </c>
      <c r="E24">
        <v>0</v>
      </c>
      <c r="F24" s="2">
        <v>15000</v>
      </c>
      <c r="G24" s="2">
        <v>30000</v>
      </c>
    </row>
    <row r="25" spans="1:11" x14ac:dyDescent="0.35">
      <c r="A25" t="s">
        <v>140</v>
      </c>
      <c r="B25" s="2">
        <v>35000</v>
      </c>
      <c r="C25" s="2">
        <v>50000</v>
      </c>
      <c r="D25" s="2">
        <v>50000</v>
      </c>
      <c r="E25" s="2">
        <v>15000</v>
      </c>
      <c r="F25">
        <v>0</v>
      </c>
      <c r="G25" s="2">
        <v>35000</v>
      </c>
    </row>
    <row r="26" spans="1:11" x14ac:dyDescent="0.35">
      <c r="A26" t="s">
        <v>141</v>
      </c>
      <c r="B26">
        <v>0</v>
      </c>
      <c r="C26">
        <v>0</v>
      </c>
      <c r="D26">
        <v>0</v>
      </c>
      <c r="E26" s="2">
        <v>30000</v>
      </c>
      <c r="F26" s="2">
        <v>35000</v>
      </c>
      <c r="G26">
        <v>0</v>
      </c>
    </row>
    <row r="28" spans="1:11" x14ac:dyDescent="0.35">
      <c r="A28" t="s">
        <v>3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  <c r="G28" t="s">
        <v>141</v>
      </c>
    </row>
    <row r="29" spans="1:11" x14ac:dyDescent="0.35">
      <c r="A29" t="s">
        <v>136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35">
      <c r="A30" t="s">
        <v>137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35">
      <c r="A31" t="s">
        <v>138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35">
      <c r="A32" t="s">
        <v>139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t="s">
        <v>140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t="s">
        <v>141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35">
      <c r="A36" t="s">
        <v>4</v>
      </c>
      <c r="B36" t="s">
        <v>136</v>
      </c>
      <c r="C36" t="s">
        <v>137</v>
      </c>
      <c r="D36" t="s">
        <v>138</v>
      </c>
      <c r="E36" t="s">
        <v>139</v>
      </c>
      <c r="F36" t="s">
        <v>140</v>
      </c>
      <c r="G36" t="s">
        <v>141</v>
      </c>
    </row>
    <row r="37" spans="1:7" x14ac:dyDescent="0.35">
      <c r="A37" t="s">
        <v>136</v>
      </c>
      <c r="B37">
        <v>0</v>
      </c>
      <c r="C37" s="2">
        <v>200</v>
      </c>
      <c r="D37" s="2">
        <v>200</v>
      </c>
      <c r="E37" s="2">
        <v>353</v>
      </c>
      <c r="F37">
        <v>0</v>
      </c>
      <c r="G37">
        <v>0</v>
      </c>
    </row>
    <row r="38" spans="1:7" x14ac:dyDescent="0.35">
      <c r="A38" t="s">
        <v>137</v>
      </c>
      <c r="B38" s="2">
        <v>200</v>
      </c>
      <c r="C38">
        <v>0</v>
      </c>
      <c r="D38">
        <v>0</v>
      </c>
      <c r="E38" s="2">
        <v>250</v>
      </c>
      <c r="F38">
        <v>0</v>
      </c>
      <c r="G38">
        <v>0</v>
      </c>
    </row>
    <row r="39" spans="1:7" x14ac:dyDescent="0.35">
      <c r="A39" t="s">
        <v>138</v>
      </c>
      <c r="B39" s="2">
        <v>200</v>
      </c>
      <c r="C39">
        <v>0</v>
      </c>
      <c r="D39">
        <v>0</v>
      </c>
      <c r="E39" s="2">
        <v>250</v>
      </c>
      <c r="F39">
        <v>0</v>
      </c>
      <c r="G39">
        <v>0</v>
      </c>
    </row>
    <row r="40" spans="1:7" x14ac:dyDescent="0.35">
      <c r="A40" t="s">
        <v>139</v>
      </c>
      <c r="B40" s="2">
        <v>353</v>
      </c>
      <c r="C40" s="2">
        <v>250</v>
      </c>
      <c r="D40" s="2">
        <v>250</v>
      </c>
      <c r="E40">
        <v>0</v>
      </c>
      <c r="F40">
        <v>0</v>
      </c>
      <c r="G40">
        <v>0</v>
      </c>
    </row>
    <row r="41" spans="1:7" x14ac:dyDescent="0.35">
      <c r="A41" t="s">
        <v>140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5">
      <c r="A42" t="s">
        <v>141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35">
      <c r="A44" t="s">
        <v>5</v>
      </c>
      <c r="B44" t="s">
        <v>136</v>
      </c>
      <c r="C44" t="s">
        <v>137</v>
      </c>
      <c r="D44" t="s">
        <v>138</v>
      </c>
      <c r="E44" t="s">
        <v>139</v>
      </c>
      <c r="F44" t="s">
        <v>140</v>
      </c>
      <c r="G44" t="s">
        <v>141</v>
      </c>
    </row>
    <row r="45" spans="1:7" x14ac:dyDescent="0.35">
      <c r="A45" t="s">
        <v>6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35">
      <c r="A46" t="s">
        <v>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35">
      <c r="A47" t="s">
        <v>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4222-3A00-4FAC-A03C-B4190B949AC5}">
  <dimension ref="A1:S67"/>
  <sheetViews>
    <sheetView workbookViewId="0">
      <selection activeCell="L17" sqref="L17"/>
    </sheetView>
  </sheetViews>
  <sheetFormatPr defaultRowHeight="14.5" x14ac:dyDescent="0.35"/>
  <sheetData>
    <row r="1" spans="1:19" x14ac:dyDescent="0.35">
      <c r="A1" t="s">
        <v>151</v>
      </c>
      <c r="B1">
        <v>1</v>
      </c>
    </row>
    <row r="3" spans="1:19" x14ac:dyDescent="0.35">
      <c r="A3" t="s">
        <v>152</v>
      </c>
      <c r="B3" t="s">
        <v>83</v>
      </c>
      <c r="C3" t="s">
        <v>83</v>
      </c>
      <c r="D3" t="s">
        <v>83</v>
      </c>
      <c r="E3" t="s">
        <v>115</v>
      </c>
      <c r="F3" t="s">
        <v>115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116</v>
      </c>
      <c r="M3" t="s">
        <v>116</v>
      </c>
      <c r="N3" t="s">
        <v>116</v>
      </c>
      <c r="O3" t="s">
        <v>116</v>
      </c>
      <c r="P3" t="s">
        <v>78</v>
      </c>
      <c r="Q3" t="s">
        <v>78</v>
      </c>
      <c r="R3" t="s">
        <v>50</v>
      </c>
      <c r="S3" t="s">
        <v>50</v>
      </c>
    </row>
    <row r="4" spans="1:19" x14ac:dyDescent="0.35">
      <c r="A4" t="s">
        <v>0</v>
      </c>
      <c r="B4" t="s">
        <v>112</v>
      </c>
      <c r="C4" t="s">
        <v>55</v>
      </c>
      <c r="D4" t="s">
        <v>84</v>
      </c>
      <c r="E4" t="s">
        <v>10</v>
      </c>
      <c r="F4" t="s">
        <v>11</v>
      </c>
      <c r="G4" t="s">
        <v>10</v>
      </c>
      <c r="H4" t="s">
        <v>11</v>
      </c>
      <c r="I4" t="s">
        <v>52</v>
      </c>
      <c r="J4" t="s">
        <v>72</v>
      </c>
      <c r="K4" t="s">
        <v>54</v>
      </c>
      <c r="L4" t="s">
        <v>15</v>
      </c>
      <c r="M4" t="s">
        <v>10</v>
      </c>
      <c r="N4" t="s">
        <v>11</v>
      </c>
      <c r="O4" t="s">
        <v>55</v>
      </c>
      <c r="P4" t="s">
        <v>56</v>
      </c>
      <c r="Q4" t="s">
        <v>52</v>
      </c>
      <c r="R4" t="s">
        <v>113</v>
      </c>
      <c r="S4" t="s">
        <v>114</v>
      </c>
    </row>
    <row r="6" spans="1:19" x14ac:dyDescent="0.35">
      <c r="A6" t="s">
        <v>253</v>
      </c>
      <c r="B6">
        <v>1</v>
      </c>
      <c r="C6">
        <v>0</v>
      </c>
      <c r="D6">
        <v>0</v>
      </c>
      <c r="E6">
        <v>3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0</v>
      </c>
      <c r="P6">
        <v>4</v>
      </c>
      <c r="Q6">
        <v>0</v>
      </c>
      <c r="R6">
        <v>2</v>
      </c>
      <c r="S6">
        <v>0</v>
      </c>
    </row>
    <row r="7" spans="1:19" x14ac:dyDescent="0.35">
      <c r="A7" t="s">
        <v>254</v>
      </c>
      <c r="B7">
        <v>1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2</v>
      </c>
      <c r="Q7">
        <v>2</v>
      </c>
      <c r="R7">
        <v>2</v>
      </c>
      <c r="S7">
        <v>0</v>
      </c>
    </row>
    <row r="8" spans="1:19" x14ac:dyDescent="0.35">
      <c r="A8" t="s">
        <v>255</v>
      </c>
      <c r="B8">
        <v>0</v>
      </c>
      <c r="C8">
        <v>1</v>
      </c>
      <c r="D8">
        <v>0</v>
      </c>
      <c r="E8">
        <v>3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2</v>
      </c>
      <c r="Q8">
        <v>2</v>
      </c>
      <c r="R8">
        <v>2</v>
      </c>
      <c r="S8">
        <v>0</v>
      </c>
    </row>
    <row r="9" spans="1:19" x14ac:dyDescent="0.35">
      <c r="A9" t="s">
        <v>256</v>
      </c>
      <c r="B9">
        <v>1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4</v>
      </c>
      <c r="Q9">
        <v>0</v>
      </c>
      <c r="R9">
        <v>2</v>
      </c>
      <c r="S9">
        <v>0</v>
      </c>
    </row>
    <row r="10" spans="1:19" x14ac:dyDescent="0.35">
      <c r="A10" t="s">
        <v>257</v>
      </c>
      <c r="B10">
        <v>1</v>
      </c>
      <c r="C10">
        <v>0</v>
      </c>
      <c r="D10">
        <v>0</v>
      </c>
      <c r="E10">
        <v>3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4</v>
      </c>
      <c r="Q10">
        <v>0</v>
      </c>
      <c r="R10">
        <v>2</v>
      </c>
      <c r="S10">
        <v>0</v>
      </c>
    </row>
    <row r="11" spans="1:19" x14ac:dyDescent="0.35">
      <c r="A11" t="s">
        <v>258</v>
      </c>
      <c r="B11">
        <v>1</v>
      </c>
      <c r="C11">
        <v>0</v>
      </c>
      <c r="D11">
        <v>0</v>
      </c>
      <c r="E11">
        <v>0</v>
      </c>
      <c r="F11">
        <v>3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4</v>
      </c>
      <c r="Q11">
        <v>0</v>
      </c>
      <c r="R11">
        <v>2</v>
      </c>
      <c r="S11">
        <v>0</v>
      </c>
    </row>
    <row r="12" spans="1:19" x14ac:dyDescent="0.35">
      <c r="A12" t="s">
        <v>259</v>
      </c>
      <c r="B12">
        <v>1</v>
      </c>
      <c r="C12">
        <v>0</v>
      </c>
      <c r="D12">
        <v>0</v>
      </c>
      <c r="E12">
        <v>3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4</v>
      </c>
      <c r="Q12">
        <v>0</v>
      </c>
      <c r="R12">
        <v>2</v>
      </c>
      <c r="S12">
        <v>0</v>
      </c>
    </row>
    <row r="13" spans="1:19" x14ac:dyDescent="0.35">
      <c r="A13" t="s">
        <v>260</v>
      </c>
      <c r="B13">
        <v>1</v>
      </c>
      <c r="C13">
        <v>0</v>
      </c>
      <c r="D13">
        <v>0</v>
      </c>
      <c r="E13">
        <v>0</v>
      </c>
      <c r="F13">
        <v>3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4</v>
      </c>
      <c r="Q13">
        <v>0</v>
      </c>
      <c r="R13">
        <v>2</v>
      </c>
      <c r="S13">
        <v>0</v>
      </c>
    </row>
    <row r="14" spans="1:19" x14ac:dyDescent="0.35">
      <c r="A14" t="s">
        <v>261</v>
      </c>
      <c r="B14">
        <v>1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2</v>
      </c>
      <c r="P14">
        <v>4</v>
      </c>
      <c r="Q14">
        <v>0</v>
      </c>
      <c r="R14">
        <v>2</v>
      </c>
      <c r="S14">
        <v>0</v>
      </c>
    </row>
    <row r="15" spans="1:19" x14ac:dyDescent="0.35">
      <c r="A15" t="s">
        <v>262</v>
      </c>
      <c r="B15">
        <v>0</v>
      </c>
      <c r="C15">
        <v>0</v>
      </c>
      <c r="D15">
        <v>1</v>
      </c>
      <c r="E15">
        <v>3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2</v>
      </c>
      <c r="Q15">
        <v>2</v>
      </c>
      <c r="R15">
        <v>2</v>
      </c>
      <c r="S15">
        <v>0</v>
      </c>
    </row>
    <row r="16" spans="1:19" x14ac:dyDescent="0.35">
      <c r="A16" t="s">
        <v>263</v>
      </c>
      <c r="B16">
        <v>1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2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>
        <v>2</v>
      </c>
    </row>
    <row r="18" spans="1:19" x14ac:dyDescent="0.35">
      <c r="A18" t="s">
        <v>157</v>
      </c>
      <c r="B18">
        <v>1</v>
      </c>
      <c r="C18">
        <v>1</v>
      </c>
      <c r="D18">
        <v>1</v>
      </c>
      <c r="E18">
        <v>3</v>
      </c>
      <c r="F18">
        <v>3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1</v>
      </c>
      <c r="Q18">
        <v>1</v>
      </c>
      <c r="R18">
        <v>2</v>
      </c>
      <c r="S18">
        <v>2</v>
      </c>
    </row>
    <row r="20" spans="1:19" x14ac:dyDescent="0.35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5">
      <c r="A21" t="s">
        <v>154</v>
      </c>
      <c r="B21">
        <v>1</v>
      </c>
      <c r="C21">
        <v>1</v>
      </c>
      <c r="D21">
        <v>0.1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0.5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35">
      <c r="A22" t="s">
        <v>155</v>
      </c>
      <c r="B22">
        <f>1/3</f>
        <v>0.33333333333333331</v>
      </c>
      <c r="C22">
        <f t="shared" ref="C22:S22" si="0">1/3</f>
        <v>0.33333333333333331</v>
      </c>
      <c r="D22">
        <f t="shared" si="0"/>
        <v>0.33333333333333331</v>
      </c>
      <c r="E22">
        <f t="shared" si="0"/>
        <v>0.33333333333333331</v>
      </c>
      <c r="F22">
        <f t="shared" si="0"/>
        <v>0.33333333333333331</v>
      </c>
      <c r="G22">
        <f t="shared" si="0"/>
        <v>0.33333333333333331</v>
      </c>
      <c r="H22">
        <f t="shared" si="0"/>
        <v>0.33333333333333331</v>
      </c>
      <c r="I22">
        <f t="shared" si="0"/>
        <v>0.33333333333333331</v>
      </c>
      <c r="J22">
        <f t="shared" si="0"/>
        <v>0.33333333333333331</v>
      </c>
      <c r="K22">
        <f t="shared" si="0"/>
        <v>0.33333333333333331</v>
      </c>
      <c r="L22">
        <f t="shared" si="0"/>
        <v>0.33333333333333331</v>
      </c>
      <c r="M22">
        <f t="shared" si="0"/>
        <v>0.33333333333333331</v>
      </c>
      <c r="N22">
        <f t="shared" si="0"/>
        <v>0.33333333333333331</v>
      </c>
      <c r="O22">
        <f t="shared" si="0"/>
        <v>0.33333333333333331</v>
      </c>
      <c r="P22">
        <f t="shared" si="0"/>
        <v>0.33333333333333331</v>
      </c>
      <c r="Q22">
        <f t="shared" si="0"/>
        <v>0.33333333333333331</v>
      </c>
      <c r="R22">
        <f t="shared" si="0"/>
        <v>0.33333333333333331</v>
      </c>
      <c r="S22">
        <f t="shared" si="0"/>
        <v>0.33333333333333331</v>
      </c>
    </row>
    <row r="23" spans="1:19" x14ac:dyDescent="0.35">
      <c r="A23" t="s">
        <v>156</v>
      </c>
      <c r="B23">
        <v>0</v>
      </c>
      <c r="C23">
        <v>0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5" spans="1:19" x14ac:dyDescent="0.35">
      <c r="A25" t="s">
        <v>2</v>
      </c>
      <c r="B25" t="s">
        <v>117</v>
      </c>
      <c r="C25" t="s">
        <v>124</v>
      </c>
      <c r="D25" t="s">
        <v>125</v>
      </c>
      <c r="E25" t="s">
        <v>126</v>
      </c>
      <c r="F25" t="s">
        <v>118</v>
      </c>
      <c r="G25" t="s">
        <v>127</v>
      </c>
      <c r="H25" t="s">
        <v>119</v>
      </c>
      <c r="I25" t="s">
        <v>120</v>
      </c>
      <c r="J25" t="s">
        <v>121</v>
      </c>
      <c r="K25" t="s">
        <v>122</v>
      </c>
      <c r="L25" t="s">
        <v>123</v>
      </c>
    </row>
    <row r="26" spans="1:19" x14ac:dyDescent="0.35">
      <c r="A26" t="s">
        <v>117</v>
      </c>
      <c r="B26">
        <v>0</v>
      </c>
      <c r="C26">
        <v>20000</v>
      </c>
      <c r="D26">
        <v>25000</v>
      </c>
      <c r="E26">
        <v>65000</v>
      </c>
      <c r="F26">
        <v>45000</v>
      </c>
      <c r="G26">
        <v>75000</v>
      </c>
      <c r="H26">
        <v>57000</v>
      </c>
      <c r="I26">
        <v>63000</v>
      </c>
      <c r="J26">
        <v>52000</v>
      </c>
      <c r="K26">
        <v>30000</v>
      </c>
      <c r="L26">
        <v>85000</v>
      </c>
    </row>
    <row r="27" spans="1:19" x14ac:dyDescent="0.35">
      <c r="A27" t="s">
        <v>124</v>
      </c>
      <c r="B27">
        <v>20000</v>
      </c>
      <c r="C27">
        <v>0</v>
      </c>
      <c r="D27">
        <v>-40000</v>
      </c>
      <c r="E27">
        <v>25000</v>
      </c>
      <c r="F27">
        <v>70000</v>
      </c>
      <c r="G27">
        <v>80000</v>
      </c>
      <c r="H27">
        <v>70000</v>
      </c>
      <c r="I27">
        <v>72500</v>
      </c>
      <c r="J27">
        <v>20000</v>
      </c>
      <c r="K27">
        <v>-40000</v>
      </c>
      <c r="L27">
        <v>35000</v>
      </c>
    </row>
    <row r="28" spans="1:19" x14ac:dyDescent="0.35">
      <c r="A28" t="s">
        <v>125</v>
      </c>
      <c r="B28">
        <v>25000</v>
      </c>
      <c r="C28">
        <v>-40000</v>
      </c>
      <c r="D28">
        <v>0</v>
      </c>
      <c r="E28">
        <v>50000</v>
      </c>
      <c r="F28">
        <v>90000</v>
      </c>
      <c r="G28">
        <v>106700</v>
      </c>
      <c r="H28">
        <v>94800</v>
      </c>
      <c r="I28">
        <v>94800</v>
      </c>
      <c r="J28">
        <v>40000</v>
      </c>
      <c r="K28">
        <v>8000</v>
      </c>
      <c r="L28">
        <v>15000</v>
      </c>
    </row>
    <row r="29" spans="1:19" x14ac:dyDescent="0.35">
      <c r="A29" t="s">
        <v>126</v>
      </c>
      <c r="B29">
        <v>65000</v>
      </c>
      <c r="C29">
        <v>25000</v>
      </c>
      <c r="D29">
        <v>50000</v>
      </c>
      <c r="E29">
        <v>0</v>
      </c>
      <c r="F29">
        <v>100000</v>
      </c>
      <c r="G29">
        <v>113500</v>
      </c>
      <c r="H29">
        <v>100000</v>
      </c>
      <c r="I29">
        <v>111200</v>
      </c>
      <c r="J29">
        <v>0</v>
      </c>
      <c r="K29">
        <v>54000</v>
      </c>
      <c r="L29">
        <v>75000</v>
      </c>
    </row>
    <row r="30" spans="1:19" x14ac:dyDescent="0.35">
      <c r="A30" t="s">
        <v>118</v>
      </c>
      <c r="B30">
        <v>45000</v>
      </c>
      <c r="C30">
        <v>70000</v>
      </c>
      <c r="D30">
        <v>90000</v>
      </c>
      <c r="E30">
        <v>100000</v>
      </c>
      <c r="F30">
        <v>0</v>
      </c>
      <c r="G30">
        <v>33000</v>
      </c>
      <c r="H30">
        <v>18000</v>
      </c>
      <c r="I30">
        <v>23000</v>
      </c>
      <c r="J30">
        <v>80000</v>
      </c>
      <c r="K30">
        <v>87000</v>
      </c>
      <c r="L30">
        <v>100000</v>
      </c>
    </row>
    <row r="31" spans="1:19" x14ac:dyDescent="0.35">
      <c r="A31" t="s">
        <v>127</v>
      </c>
      <c r="B31">
        <v>75000</v>
      </c>
      <c r="C31">
        <v>80000</v>
      </c>
      <c r="D31">
        <v>106700</v>
      </c>
      <c r="E31">
        <v>113500</v>
      </c>
      <c r="F31">
        <v>33000</v>
      </c>
      <c r="G31">
        <v>0</v>
      </c>
      <c r="H31">
        <v>12000</v>
      </c>
      <c r="I31">
        <v>8000</v>
      </c>
      <c r="J31">
        <v>91000</v>
      </c>
      <c r="K31">
        <v>96000</v>
      </c>
      <c r="L31">
        <v>65000</v>
      </c>
    </row>
    <row r="32" spans="1:19" x14ac:dyDescent="0.35">
      <c r="A32" t="s">
        <v>119</v>
      </c>
      <c r="B32">
        <v>57000</v>
      </c>
      <c r="C32">
        <v>70000</v>
      </c>
      <c r="D32">
        <v>94800</v>
      </c>
      <c r="E32">
        <v>100000</v>
      </c>
      <c r="F32">
        <v>18000</v>
      </c>
      <c r="G32">
        <v>12000</v>
      </c>
      <c r="H32">
        <v>0</v>
      </c>
      <c r="I32">
        <v>20000</v>
      </c>
      <c r="J32">
        <v>80000</v>
      </c>
      <c r="K32">
        <v>94000</v>
      </c>
      <c r="L32">
        <v>95000</v>
      </c>
    </row>
    <row r="33" spans="1:12" x14ac:dyDescent="0.35">
      <c r="A33" t="s">
        <v>120</v>
      </c>
      <c r="B33">
        <v>63000</v>
      </c>
      <c r="C33">
        <v>72500</v>
      </c>
      <c r="D33">
        <v>94800</v>
      </c>
      <c r="E33">
        <v>111200</v>
      </c>
      <c r="F33">
        <v>23000</v>
      </c>
      <c r="G33">
        <v>8000</v>
      </c>
      <c r="H33">
        <v>20000</v>
      </c>
      <c r="I33">
        <v>0</v>
      </c>
      <c r="J33">
        <v>90000</v>
      </c>
      <c r="K33">
        <v>94000</v>
      </c>
      <c r="L33">
        <v>95000</v>
      </c>
    </row>
    <row r="34" spans="1:12" x14ac:dyDescent="0.35">
      <c r="A34" t="s">
        <v>121</v>
      </c>
      <c r="B34">
        <v>52000</v>
      </c>
      <c r="C34">
        <v>20000</v>
      </c>
      <c r="D34">
        <v>40000</v>
      </c>
      <c r="E34">
        <v>0</v>
      </c>
      <c r="F34">
        <v>80000</v>
      </c>
      <c r="G34">
        <v>91000</v>
      </c>
      <c r="H34">
        <v>80000</v>
      </c>
      <c r="I34">
        <v>90000</v>
      </c>
      <c r="J34">
        <v>0</v>
      </c>
      <c r="K34">
        <v>50000</v>
      </c>
      <c r="L34">
        <v>50000</v>
      </c>
    </row>
    <row r="35" spans="1:12" x14ac:dyDescent="0.35">
      <c r="A35" t="s">
        <v>122</v>
      </c>
      <c r="B35">
        <v>30000</v>
      </c>
      <c r="C35">
        <v>-40000</v>
      </c>
      <c r="D35">
        <v>8000</v>
      </c>
      <c r="E35">
        <v>54000</v>
      </c>
      <c r="F35">
        <v>87000</v>
      </c>
      <c r="G35">
        <v>96000</v>
      </c>
      <c r="H35">
        <v>94000</v>
      </c>
      <c r="I35">
        <v>94000</v>
      </c>
      <c r="J35">
        <v>50000</v>
      </c>
      <c r="K35">
        <v>0</v>
      </c>
      <c r="L35">
        <v>35000</v>
      </c>
    </row>
    <row r="36" spans="1:12" x14ac:dyDescent="0.35">
      <c r="A36" t="s">
        <v>123</v>
      </c>
      <c r="B36">
        <v>85000</v>
      </c>
      <c r="C36">
        <v>35000</v>
      </c>
      <c r="D36">
        <v>15000</v>
      </c>
      <c r="E36">
        <v>75000</v>
      </c>
      <c r="F36">
        <v>100000</v>
      </c>
      <c r="G36">
        <v>65000</v>
      </c>
      <c r="H36">
        <v>95000</v>
      </c>
      <c r="I36">
        <v>95000</v>
      </c>
      <c r="J36">
        <v>50000</v>
      </c>
      <c r="K36">
        <v>35000</v>
      </c>
      <c r="L36">
        <v>0</v>
      </c>
    </row>
    <row r="38" spans="1:12" x14ac:dyDescent="0.35">
      <c r="A38" t="s">
        <v>3</v>
      </c>
      <c r="B38" t="s">
        <v>117</v>
      </c>
      <c r="C38" t="s">
        <v>124</v>
      </c>
      <c r="D38" t="s">
        <v>125</v>
      </c>
      <c r="E38" t="s">
        <v>126</v>
      </c>
      <c r="F38" t="s">
        <v>118</v>
      </c>
      <c r="G38" t="s">
        <v>127</v>
      </c>
      <c r="H38" t="s">
        <v>119</v>
      </c>
      <c r="I38" t="s">
        <v>120</v>
      </c>
      <c r="J38" t="s">
        <v>121</v>
      </c>
      <c r="K38" t="s">
        <v>122</v>
      </c>
      <c r="L38" t="s">
        <v>123</v>
      </c>
    </row>
    <row r="39" spans="1:12" x14ac:dyDescent="0.35">
      <c r="A39" t="s">
        <v>117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t="s">
        <v>124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 t="s">
        <v>125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 t="s">
        <v>126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t="s">
        <v>118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5">
      <c r="A44" t="s">
        <v>127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 t="s">
        <v>119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 t="s">
        <v>120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 t="s">
        <v>121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t="s">
        <v>122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t="s">
        <v>123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1" spans="1:12" x14ac:dyDescent="0.35">
      <c r="A51" t="s">
        <v>4</v>
      </c>
      <c r="B51" t="s">
        <v>117</v>
      </c>
      <c r="C51" t="s">
        <v>124</v>
      </c>
      <c r="D51" t="s">
        <v>125</v>
      </c>
      <c r="E51" t="s">
        <v>126</v>
      </c>
      <c r="F51" t="s">
        <v>118</v>
      </c>
      <c r="G51" t="s">
        <v>127</v>
      </c>
      <c r="H51" t="s">
        <v>119</v>
      </c>
      <c r="I51" t="s">
        <v>120</v>
      </c>
      <c r="J51" t="s">
        <v>121</v>
      </c>
      <c r="K51" t="s">
        <v>122</v>
      </c>
      <c r="L51" t="s">
        <v>123</v>
      </c>
    </row>
    <row r="52" spans="1:12" x14ac:dyDescent="0.35">
      <c r="A52" t="s">
        <v>117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t="s">
        <v>124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t="s">
        <v>125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t="s">
        <v>126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t="s">
        <v>118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t="s">
        <v>127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 t="s">
        <v>119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 t="s">
        <v>120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 t="s">
        <v>121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5">
      <c r="A61" t="s">
        <v>122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 t="s">
        <v>123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4" spans="1:12" x14ac:dyDescent="0.35">
      <c r="A64" t="s">
        <v>5</v>
      </c>
      <c r="B64" t="s">
        <v>117</v>
      </c>
      <c r="C64" t="s">
        <v>124</v>
      </c>
      <c r="D64" t="s">
        <v>125</v>
      </c>
      <c r="E64" t="s">
        <v>126</v>
      </c>
      <c r="F64" t="s">
        <v>118</v>
      </c>
      <c r="G64" t="s">
        <v>127</v>
      </c>
      <c r="H64" t="s">
        <v>119</v>
      </c>
      <c r="I64" t="s">
        <v>120</v>
      </c>
      <c r="J64" t="s">
        <v>121</v>
      </c>
      <c r="K64" t="s">
        <v>122</v>
      </c>
      <c r="L64" t="s">
        <v>123</v>
      </c>
    </row>
    <row r="65" spans="1:12" x14ac:dyDescent="0.35">
      <c r="A65" t="s">
        <v>6</v>
      </c>
      <c r="B65">
        <v>1</v>
      </c>
      <c r="C65">
        <v>1.5</v>
      </c>
      <c r="D65">
        <v>1.7</v>
      </c>
      <c r="E65">
        <v>0.8</v>
      </c>
      <c r="F65">
        <v>1</v>
      </c>
      <c r="G65">
        <v>1</v>
      </c>
      <c r="H65">
        <v>1</v>
      </c>
      <c r="I65">
        <v>1</v>
      </c>
      <c r="J65">
        <v>0.8</v>
      </c>
      <c r="K65">
        <v>1.7</v>
      </c>
      <c r="L65">
        <v>1.5</v>
      </c>
    </row>
    <row r="66" spans="1:12" x14ac:dyDescent="0.35">
      <c r="A66" t="s">
        <v>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 t="s">
        <v>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61B-DAD7-426B-8DA0-753ADF78B32B}">
  <dimension ref="A1:G32"/>
  <sheetViews>
    <sheetView workbookViewId="0">
      <selection activeCell="P27" sqref="P27"/>
    </sheetView>
  </sheetViews>
  <sheetFormatPr defaultRowHeight="14.5" x14ac:dyDescent="0.35"/>
  <sheetData>
    <row r="1" spans="1:7" x14ac:dyDescent="0.35">
      <c r="A1" t="s">
        <v>151</v>
      </c>
      <c r="B1">
        <v>1</v>
      </c>
    </row>
    <row r="3" spans="1:7" x14ac:dyDescent="0.35">
      <c r="A3" t="s">
        <v>152</v>
      </c>
      <c r="B3" t="s">
        <v>9</v>
      </c>
      <c r="C3" t="s">
        <v>9</v>
      </c>
      <c r="D3" t="s">
        <v>82</v>
      </c>
      <c r="E3" t="s">
        <v>82</v>
      </c>
    </row>
    <row r="4" spans="1:7" x14ac:dyDescent="0.35">
      <c r="A4" t="s">
        <v>0</v>
      </c>
      <c r="B4" t="s">
        <v>52</v>
      </c>
      <c r="C4" t="s">
        <v>72</v>
      </c>
      <c r="D4" t="s">
        <v>52</v>
      </c>
      <c r="E4" t="s">
        <v>72</v>
      </c>
    </row>
    <row r="6" spans="1:7" x14ac:dyDescent="0.35">
      <c r="A6" t="s">
        <v>247</v>
      </c>
      <c r="B6">
        <v>1</v>
      </c>
      <c r="C6">
        <v>0</v>
      </c>
      <c r="D6">
        <v>1</v>
      </c>
      <c r="E6">
        <v>0</v>
      </c>
    </row>
    <row r="7" spans="1:7" x14ac:dyDescent="0.35">
      <c r="A7" t="s">
        <v>248</v>
      </c>
      <c r="B7">
        <v>1</v>
      </c>
      <c r="C7">
        <v>0</v>
      </c>
      <c r="D7">
        <v>0</v>
      </c>
      <c r="E7">
        <v>1</v>
      </c>
    </row>
    <row r="8" spans="1:7" x14ac:dyDescent="0.35">
      <c r="A8" t="s">
        <v>249</v>
      </c>
      <c r="B8">
        <v>0</v>
      </c>
      <c r="C8">
        <v>1</v>
      </c>
      <c r="D8">
        <v>0</v>
      </c>
      <c r="E8">
        <v>1</v>
      </c>
    </row>
    <row r="10" spans="1:7" x14ac:dyDescent="0.35">
      <c r="A10" t="s">
        <v>157</v>
      </c>
      <c r="B10">
        <v>1</v>
      </c>
      <c r="C10">
        <v>1</v>
      </c>
      <c r="D10">
        <v>1</v>
      </c>
      <c r="E10">
        <v>1</v>
      </c>
    </row>
    <row r="12" spans="1:7" x14ac:dyDescent="0.35">
      <c r="A12" t="s">
        <v>153</v>
      </c>
      <c r="B12">
        <v>0</v>
      </c>
      <c r="C12">
        <v>0</v>
      </c>
      <c r="D12">
        <v>0</v>
      </c>
      <c r="E12">
        <v>0</v>
      </c>
    </row>
    <row r="13" spans="1:7" x14ac:dyDescent="0.35">
      <c r="A13" t="s">
        <v>154</v>
      </c>
      <c r="B13">
        <v>1</v>
      </c>
      <c r="C13">
        <v>1</v>
      </c>
      <c r="D13">
        <v>1</v>
      </c>
      <c r="E13">
        <v>1</v>
      </c>
      <c r="F13" s="2"/>
    </row>
    <row r="14" spans="1:7" x14ac:dyDescent="0.35">
      <c r="A14" t="s">
        <v>155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 s="2"/>
    </row>
    <row r="15" spans="1:7" x14ac:dyDescent="0.35">
      <c r="A15" t="s">
        <v>156</v>
      </c>
      <c r="B15">
        <v>0</v>
      </c>
      <c r="C15">
        <v>0</v>
      </c>
      <c r="D15">
        <v>0</v>
      </c>
      <c r="E15">
        <v>0</v>
      </c>
      <c r="F15" s="2"/>
    </row>
    <row r="16" spans="1:7" x14ac:dyDescent="0.35">
      <c r="F16" s="2"/>
      <c r="G16" s="2"/>
    </row>
    <row r="17" spans="1:7" x14ac:dyDescent="0.35">
      <c r="A17" t="s">
        <v>2</v>
      </c>
      <c r="B17" t="s">
        <v>144</v>
      </c>
      <c r="C17" t="s">
        <v>145</v>
      </c>
      <c r="D17" t="s">
        <v>146</v>
      </c>
      <c r="E17" s="2"/>
      <c r="G17" s="2"/>
    </row>
    <row r="18" spans="1:7" x14ac:dyDescent="0.35">
      <c r="A18" t="s">
        <v>144</v>
      </c>
      <c r="B18">
        <v>0</v>
      </c>
      <c r="C18" s="2">
        <v>1000</v>
      </c>
      <c r="D18" s="2">
        <v>3000</v>
      </c>
      <c r="E18" s="2"/>
      <c r="F18" s="2"/>
    </row>
    <row r="19" spans="1:7" x14ac:dyDescent="0.35">
      <c r="A19" t="s">
        <v>145</v>
      </c>
      <c r="B19" s="2">
        <v>1000</v>
      </c>
      <c r="C19">
        <v>0</v>
      </c>
      <c r="D19" s="2">
        <v>1000</v>
      </c>
    </row>
    <row r="20" spans="1:7" x14ac:dyDescent="0.35">
      <c r="A20" t="s">
        <v>146</v>
      </c>
      <c r="B20" s="2">
        <v>3000</v>
      </c>
      <c r="C20" s="2">
        <v>1000</v>
      </c>
      <c r="D20">
        <v>0</v>
      </c>
    </row>
    <row r="29" spans="1:7" x14ac:dyDescent="0.35">
      <c r="C29" s="2"/>
      <c r="D29" s="2"/>
      <c r="E29" s="2"/>
    </row>
    <row r="30" spans="1:7" x14ac:dyDescent="0.35">
      <c r="B30" s="2"/>
      <c r="E30" s="2"/>
    </row>
    <row r="31" spans="1:7" x14ac:dyDescent="0.35">
      <c r="B31" s="2"/>
      <c r="E31" s="2"/>
    </row>
    <row r="32" spans="1:7" x14ac:dyDescent="0.35">
      <c r="B32" s="2"/>
      <c r="C32" s="2"/>
      <c r="D32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CA6A-F41A-453B-A5F7-CCB72E193EF9}">
  <dimension ref="A1:E35"/>
  <sheetViews>
    <sheetView workbookViewId="0">
      <selection activeCell="B22" sqref="B22"/>
    </sheetView>
  </sheetViews>
  <sheetFormatPr defaultRowHeight="14.5" x14ac:dyDescent="0.35"/>
  <sheetData>
    <row r="1" spans="1:5" x14ac:dyDescent="0.35">
      <c r="A1" t="s">
        <v>151</v>
      </c>
      <c r="B1">
        <v>1</v>
      </c>
    </row>
    <row r="3" spans="1:5" x14ac:dyDescent="0.35">
      <c r="A3" t="s">
        <v>152</v>
      </c>
      <c r="B3" t="s">
        <v>147</v>
      </c>
      <c r="C3" t="s">
        <v>147</v>
      </c>
      <c r="D3" t="s">
        <v>134</v>
      </c>
      <c r="E3" t="s">
        <v>134</v>
      </c>
    </row>
    <row r="4" spans="1:5" x14ac:dyDescent="0.35">
      <c r="A4" t="s">
        <v>0</v>
      </c>
      <c r="B4" t="s">
        <v>11</v>
      </c>
      <c r="C4" t="s">
        <v>10</v>
      </c>
      <c r="D4" t="s">
        <v>1</v>
      </c>
      <c r="E4" t="s">
        <v>112</v>
      </c>
    </row>
    <row r="6" spans="1:5" x14ac:dyDescent="0.35">
      <c r="A6" t="s">
        <v>250</v>
      </c>
      <c r="B6">
        <v>0</v>
      </c>
      <c r="C6">
        <v>2</v>
      </c>
      <c r="D6">
        <v>0</v>
      </c>
      <c r="E6">
        <v>1</v>
      </c>
    </row>
    <row r="7" spans="1:5" x14ac:dyDescent="0.35">
      <c r="A7" t="s">
        <v>251</v>
      </c>
      <c r="B7">
        <v>2</v>
      </c>
      <c r="C7">
        <v>0</v>
      </c>
      <c r="D7">
        <v>0</v>
      </c>
      <c r="E7">
        <v>1</v>
      </c>
    </row>
    <row r="8" spans="1:5" x14ac:dyDescent="0.35">
      <c r="A8" t="s">
        <v>252</v>
      </c>
      <c r="B8">
        <v>0</v>
      </c>
      <c r="C8">
        <v>2</v>
      </c>
      <c r="D8">
        <v>1</v>
      </c>
      <c r="E8">
        <v>0</v>
      </c>
    </row>
    <row r="10" spans="1:5" x14ac:dyDescent="0.35">
      <c r="A10" t="s">
        <v>157</v>
      </c>
      <c r="B10">
        <v>2</v>
      </c>
      <c r="C10">
        <v>2</v>
      </c>
      <c r="D10">
        <v>1</v>
      </c>
      <c r="E10">
        <v>1</v>
      </c>
    </row>
    <row r="12" spans="1:5" x14ac:dyDescent="0.35">
      <c r="A12" t="s">
        <v>153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t="s">
        <v>154</v>
      </c>
      <c r="B13">
        <v>1</v>
      </c>
      <c r="C13">
        <v>1</v>
      </c>
      <c r="D13">
        <v>1</v>
      </c>
      <c r="E13">
        <v>1</v>
      </c>
    </row>
    <row r="14" spans="1:5" x14ac:dyDescent="0.35">
      <c r="A14" t="s">
        <v>155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</row>
    <row r="15" spans="1:5" x14ac:dyDescent="0.35">
      <c r="A15" t="s">
        <v>156</v>
      </c>
      <c r="B15">
        <v>0</v>
      </c>
      <c r="C15">
        <v>0</v>
      </c>
      <c r="D15">
        <v>0</v>
      </c>
      <c r="E15">
        <v>0</v>
      </c>
    </row>
    <row r="17" spans="1:5" x14ac:dyDescent="0.35">
      <c r="A17" t="s">
        <v>2</v>
      </c>
      <c r="B17" t="s">
        <v>148</v>
      </c>
      <c r="C17" t="s">
        <v>149</v>
      </c>
      <c r="D17" t="s">
        <v>150</v>
      </c>
      <c r="E17" s="2"/>
    </row>
    <row r="18" spans="1:5" x14ac:dyDescent="0.35">
      <c r="A18" t="s">
        <v>148</v>
      </c>
      <c r="B18">
        <v>0</v>
      </c>
      <c r="C18" s="2">
        <v>2500</v>
      </c>
      <c r="D18" s="2">
        <v>0</v>
      </c>
      <c r="E18" s="2"/>
    </row>
    <row r="19" spans="1:5" x14ac:dyDescent="0.35">
      <c r="A19" t="s">
        <v>149</v>
      </c>
      <c r="B19" s="2">
        <v>2500</v>
      </c>
      <c r="C19">
        <v>0</v>
      </c>
      <c r="D19" s="2">
        <v>2000</v>
      </c>
    </row>
    <row r="20" spans="1:5" x14ac:dyDescent="0.35">
      <c r="A20" t="s">
        <v>150</v>
      </c>
      <c r="B20" s="2">
        <v>0</v>
      </c>
      <c r="C20" s="2">
        <v>2000</v>
      </c>
      <c r="D20">
        <v>0</v>
      </c>
      <c r="E20" s="2"/>
    </row>
    <row r="21" spans="1:5" x14ac:dyDescent="0.35">
      <c r="E21" s="2"/>
    </row>
    <row r="22" spans="1:5" x14ac:dyDescent="0.35">
      <c r="A22" t="s">
        <v>3</v>
      </c>
      <c r="B22" t="s">
        <v>148</v>
      </c>
      <c r="C22" t="s">
        <v>149</v>
      </c>
      <c r="D22" t="s">
        <v>150</v>
      </c>
    </row>
    <row r="23" spans="1:5" x14ac:dyDescent="0.35">
      <c r="A23" t="s">
        <v>148</v>
      </c>
      <c r="B23">
        <v>0</v>
      </c>
      <c r="C23">
        <v>0</v>
      </c>
      <c r="D23">
        <v>0</v>
      </c>
    </row>
    <row r="24" spans="1:5" x14ac:dyDescent="0.35">
      <c r="A24" t="s">
        <v>149</v>
      </c>
      <c r="B24">
        <v>0</v>
      </c>
      <c r="C24">
        <v>0</v>
      </c>
      <c r="D24">
        <v>0</v>
      </c>
    </row>
    <row r="25" spans="1:5" x14ac:dyDescent="0.35">
      <c r="A25" t="s">
        <v>150</v>
      </c>
      <c r="B25">
        <v>0</v>
      </c>
      <c r="C25">
        <v>0</v>
      </c>
      <c r="D25">
        <v>0</v>
      </c>
    </row>
    <row r="27" spans="1:5" x14ac:dyDescent="0.35">
      <c r="A27" t="s">
        <v>4</v>
      </c>
      <c r="B27" t="s">
        <v>148</v>
      </c>
      <c r="C27" t="s">
        <v>149</v>
      </c>
      <c r="D27" t="s">
        <v>150</v>
      </c>
    </row>
    <row r="28" spans="1:5" x14ac:dyDescent="0.35">
      <c r="A28" t="s">
        <v>148</v>
      </c>
      <c r="B28">
        <v>0</v>
      </c>
      <c r="C28">
        <v>0</v>
      </c>
      <c r="D28">
        <v>0</v>
      </c>
    </row>
    <row r="29" spans="1:5" x14ac:dyDescent="0.35">
      <c r="A29" t="s">
        <v>149</v>
      </c>
      <c r="B29">
        <v>0</v>
      </c>
      <c r="C29">
        <v>0</v>
      </c>
      <c r="D29">
        <v>0</v>
      </c>
    </row>
    <row r="30" spans="1:5" x14ac:dyDescent="0.35">
      <c r="A30" t="s">
        <v>150</v>
      </c>
      <c r="B30">
        <v>0</v>
      </c>
      <c r="C30">
        <v>0</v>
      </c>
      <c r="D30">
        <v>0</v>
      </c>
    </row>
    <row r="32" spans="1:5" x14ac:dyDescent="0.35">
      <c r="A32" t="s">
        <v>5</v>
      </c>
      <c r="B32" t="s">
        <v>148</v>
      </c>
      <c r="C32" t="s">
        <v>149</v>
      </c>
      <c r="D32" t="s">
        <v>150</v>
      </c>
    </row>
    <row r="33" spans="1:4" x14ac:dyDescent="0.35">
      <c r="A33" t="s">
        <v>6</v>
      </c>
      <c r="B33">
        <v>1</v>
      </c>
      <c r="C33">
        <v>1</v>
      </c>
      <c r="D33">
        <v>1</v>
      </c>
    </row>
    <row r="34" spans="1:4" x14ac:dyDescent="0.35">
      <c r="A34" t="s">
        <v>7</v>
      </c>
      <c r="B34">
        <v>0</v>
      </c>
      <c r="C34">
        <v>0</v>
      </c>
      <c r="D34">
        <v>0</v>
      </c>
    </row>
    <row r="35" spans="1:4" x14ac:dyDescent="0.35">
      <c r="A35" t="s">
        <v>8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Melt(G25)</vt:lpstr>
      <vt:lpstr>Fluid(G25)</vt:lpstr>
      <vt:lpstr>Feldspar</vt:lpstr>
      <vt:lpstr>Olivine</vt:lpstr>
      <vt:lpstr>Ilmenite</vt:lpstr>
      <vt:lpstr>Orthopyroxene</vt:lpstr>
      <vt:lpstr>Clinopyroxene</vt:lpstr>
      <vt:lpstr>Garnet</vt:lpstr>
      <vt:lpstr>Spinel</vt:lpstr>
      <vt:lpstr>Biotite</vt:lpstr>
      <vt:lpstr>Muscovite</vt:lpstr>
      <vt:lpstr>Amphibole</vt:lpstr>
      <vt:lpstr>Epidote</vt:lpstr>
      <vt:lpstr>Cordierite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hansv ...</cp:lastModifiedBy>
  <dcterms:created xsi:type="dcterms:W3CDTF">2020-10-01T12:47:42Z</dcterms:created>
  <dcterms:modified xsi:type="dcterms:W3CDTF">2026-03-19T10:17:39Z</dcterms:modified>
</cp:coreProperties>
</file>